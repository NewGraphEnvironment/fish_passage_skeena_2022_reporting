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2C2F781B-6D61-414B-980E-D47DA994981C}"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L15" i="2" s="1"/>
  <c r="AM15" i="2" s="1"/>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33" i="2"/>
  <c r="AM33" i="2" s="1"/>
  <c r="AL25" i="2"/>
  <c r="AM25" i="2" s="1"/>
  <c r="AL75" i="2"/>
  <c r="AL67" i="2"/>
  <c r="AL35" i="2"/>
  <c r="AM35" i="2" s="1"/>
  <c r="AL27" i="2"/>
  <c r="AM27" i="2" s="1"/>
  <c r="AL17" i="2"/>
  <c r="AM17" i="2" s="1"/>
  <c r="AL19" i="2"/>
  <c r="AM19"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L8" i="2"/>
  <c r="AM8" i="2" s="1"/>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65" i="2"/>
  <c r="AM65" i="2" s="1"/>
  <c r="AL63" i="2"/>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<sst xmlns="http://schemas.openxmlformats.org/spreadsheetml/2006/main" count="1084" uniqueCount="313">
  <si>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</si>
  <si>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</si>
  <si>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</si>
  <si>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</si>
  <si>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</si>
  <si>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</si>
  <si>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</si>
  <si>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</si>
  <si>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</si>
  <si>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</si>
  <si>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</si>
  <si>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</si>
  <si>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</si>
  <si>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</si>
  <si>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</si>
  <si>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</si>
  <si>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</si>
  <si>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</si>
  <si>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</si>
  <si>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</si>
  <si>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</si>
  <si>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</si>
  <si>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</si>
  <si>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</si>
  <si>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</si>
  <si>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</si>
  <si>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</si>
  <si>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</si>
  <si>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</si>
  <si>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</si>
  <si>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</si>
  <si>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</si>
  <si>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</si>
  <si>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</si>
  <si>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</si>
  <si>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</si>
  <si>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</si>
  <si>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</si>
  <si>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</si>
  <si>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</si>
  <si>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</si>
  <si>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</si>
  <si>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</si>
  <si>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</si>
  <si>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</si>
  <si>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</si>
  <si>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</si>
  <si>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</si>
  <si>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</si>
  <si>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</si>
  <si>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</si>
  <si>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</si>
  <si>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</si>
  <si>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</si>
  <si>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</si>
  <si>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</si>
  <si>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</si>
  <si>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</si>
  <si>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</si>
  <si>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</si>
  <si>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</si>
  <si>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</si>
  <si>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</si>
  <si>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</si>
  <si>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</si>
  <si>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</si>
  <si>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</si>
  <si>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</si>
  <si>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</si>
  <si>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</si>
  <si>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</si>
  <si>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</si>
  <si>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</si>
  <si>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</si>
  <si>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</si>
  <si>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</si>
  <si>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</si>
  <si>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</si>
  <si>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</si>
  <si>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</si>
  <si>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</si>
  <si>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</si>
  <si>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</si>
  <si>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</si>
  <si>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</si>
  <si>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</si>
  <si>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</si>
  <si>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</si>
  <si>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</si>
  <si>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</si>
  <si>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</si>
  <si>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</si>
  <si>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</si>
  <si>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</si>
  <si>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</si>
  <si>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</si>
  <si>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</si>
  <si>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</si>
  <si>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</si>
  <si>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</si>
  <si>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</si>
  <si>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</si>
  <si>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</si>
  <si>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</si>
  <si>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</si>
  <si>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</si>
  <si>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</si>
  <si>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</si>
  <si>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</si>
  <si>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</si>
  <si>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</si>
  <si>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</si>
  <si>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</si>
  <si>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Drains into Pentz Lake, mostly dewatered. 15:22</t>
  </si>
  <si>
    <t>Some backwater, not a lot of flow. 15:39</t>
  </si>
  <si>
    <t>Big beaver dam right near inlet (about 2m in height). 16:12</t>
  </si>
  <si>
    <t>Tributary to Footsore Lake</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</si>
  <si>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</si>
  <si>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</si>
  <si>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</si>
  <si>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</si>
  <si>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</si>
  <si>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</si>
  <si>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</si>
  <si>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</si>
  <si>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</si>
  <si>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</si>
  <si>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</si>
  <si>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</si>
  <si>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</si>
  <si>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</si>
  <si>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</si>
  <si>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</si>
  <si>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</si>
  <si>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</si>
  <si>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</si>
  <si>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</si>
  <si>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</si>
  <si>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</si>
  <si>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</si>
  <si>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</si>
  <si>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</si>
  <si>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</si>
  <si>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</si>
  <si>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</si>
  <si>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Bedrock</t>
  </si>
  <si>
    <t xml:space="preserve">Natural bed rock cascade of greater than 20% immediately downstream of culvert outlet for a distance of approximately 20 m.  11:35  </t>
  </si>
  <si>
    <t xml:space="preserve">Tributary to McCully Creek </t>
  </si>
  <si>
    <t xml:space="preserve">Dry draw with all organic substrate and moss throughout channel. Culvert outlet is severely rusted with the bottom completely corroded for the last approximately 1 m. Unlikely a fish bearing stream. 13:39             </t>
  </si>
  <si>
    <t>Poplar Park Rd</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</si>
  <si>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</si>
  <si>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</si>
  <si>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</si>
  <si>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 Dry at time of survey. Significant moss on rocks throughout channel indicates his drive for a good portion of the year. Culvert is perched 3 m from stream channel with outlet emptying onto riprap. Culvert is bent severely in middle. 16:03     </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</si>
  <si>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</si>
  <si>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</si>
  <si>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</si>
  <si>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</si>
  <si>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</si>
  <si>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</si>
  <si>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 xml:space="preserve"> This is a small NCD drainage. Culvert is completely plugged and Inlet could not be located. Outlet of culvert is severely corroded. Very unlikely that this is a fish bearing system.   Culvert slope, channel with, ingredient estimated. 14:39</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</si>
  <si>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</si>
  <si>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</si>
  <si>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</si>
  <si>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</si>
  <si>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</si>
  <si>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</si>
  <si>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</si>
  <si>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</si>
  <si>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</si>
  <si>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</si>
  <si>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</si>
  <si>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</si>
  <si>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</si>
  <si>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</si>
  <si>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</si>
  <si>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</si>
  <si>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</si>
  <si>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</si>
  <si>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</si>
  <si>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</si>
  <si>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</si>
  <si>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</si>
  <si>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</si>
  <si>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</si>
  <si>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</si>
  <si>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</si>
  <si>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</si>
  <si>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</si>
  <si>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</si>
  <si>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</si>
  <si>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</si>
  <si>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</si>
  <si>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</si>
  <si>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</si>
  <si>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</si>
  <si>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</si>
  <si>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</si>
  <si>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TP</t>
  </si>
  <si>
    <t>Henderson Creek</t>
  </si>
  <si>
    <t>AI JO</t>
  </si>
  <si>
    <t>Bridge. 16:06:47</t>
  </si>
  <si>
    <t>Bridge. 16:41:36</t>
  </si>
  <si>
    <t>Bridge. 16:51:49</t>
  </si>
  <si>
    <t>Deactivated spur road. Ford is not in the same position as shown on the map. 13:08</t>
  </si>
  <si>
    <t>TP VJ</t>
  </si>
  <si>
    <t>MW AI</t>
  </si>
  <si>
    <t>Bridge. 11:14:00</t>
  </si>
  <si>
    <t>Round culvert. 15:23:00</t>
  </si>
  <si>
    <t>Trib to Kitwanga river</t>
  </si>
  <si>
    <t>Highway 37</t>
  </si>
  <si>
    <t>Culvert embedded resembles stream. Utm corrected 100m down road. 12:25</t>
  </si>
  <si>
    <t>White Swan Creek</t>
  </si>
  <si>
    <t>Tributary to Zymoetz River</t>
  </si>
  <si>
    <t>McDonnell Lake FSR</t>
  </si>
  <si>
    <t>2 culverts side by side, lots of beaver activity in the area. 14:23:18</t>
  </si>
  <si>
    <t xml:space="preserve"> Unclassified</t>
  </si>
  <si>
    <t>BCTS 8243</t>
  </si>
  <si>
    <t>MoTi  Local</t>
  </si>
  <si>
    <t>BCTS 8904</t>
  </si>
  <si>
    <t>Gitxsan Forest R02415</t>
  </si>
  <si>
    <t>MoF 7871</t>
  </si>
  <si>
    <t xml:space="preserve">MoTi  Highway </t>
  </si>
  <si>
    <t>MoF 9657</t>
  </si>
  <si>
    <t xml:space="preserve">MoTi  Arterial </t>
  </si>
  <si>
    <t xml:space="preserve"> Resource</t>
  </si>
  <si>
    <t>MoF 4841</t>
  </si>
  <si>
    <t>MoF 7552</t>
  </si>
  <si>
    <t>BCTS 10121</t>
  </si>
  <si>
    <t>Kispiox River Timber R11351</t>
  </si>
  <si>
    <t>MoF 8687</t>
  </si>
  <si>
    <t>Helen Lake Rd</t>
  </si>
  <si>
    <t>Kispiox Valley Rd</t>
  </si>
  <si>
    <t>Kispiox Westside Rd</t>
  </si>
  <si>
    <t>Moore Rd</t>
  </si>
  <si>
    <t>Mitten Mainline</t>
  </si>
  <si>
    <t>Sik e Dakh Water Tower Rd</t>
  </si>
  <si>
    <t>Seventeen Mile Rd</t>
  </si>
  <si>
    <t>Replace Structure with Streambed Simulation CBS</t>
  </si>
  <si>
    <t>Replace with New Open Bottom Structure</t>
  </si>
  <si>
    <t>skeena_2022_Phase1</t>
  </si>
  <si>
    <t>Skeena Watershed Fish Passage Restoration Planning 2022 - Phase 1</t>
  </si>
  <si>
    <t>00180607</t>
  </si>
  <si>
    <t>Al Irvine</t>
  </si>
  <si>
    <t>250-777-1518</t>
  </si>
  <si>
    <t>al@newgraphenvironment.com</t>
  </si>
  <si>
    <t>186987</t>
  </si>
  <si>
    <t>Cover Page</t>
  </si>
  <si>
    <t>The supplied value of '' is not valid for Funding Source Code. A Funding Source Code must be supplied from the provided list.</t>
  </si>
  <si>
    <t>PSCIS Images</t>
  </si>
  <si>
    <t>An error occured locating the image Folder C:\Users\matwi\Projects\repo\fish_passage_skeena_2022_reporting\data\8301039. This folder must be located in the same directory as this submission sheet, and have the same name as the project '8301039'. Please ensure this folder exists.</t>
  </si>
  <si>
    <t>An error occured locating the image Folder C:\Users\matwi\Projects\repo\fish_passage_skeena_2022_reporting\data\8302422. This folder must be located in the same directory as this submission sheet, and have the same name as the project '8302422'. Please ensure this folder exists.</t>
  </si>
  <si>
    <t>An error occured locating the image Folder C:\Users\matwi\Projects\repo\fish_passage_skeena_2022_reporting\data\8302064. This folder must be located in the same directory as this submission sheet, and have the same name as the project '8302064'. Please ensure this folder exists.</t>
  </si>
  <si>
    <t>An error occured locating the image Folder C:\Users\matwi\Projects\repo\fish_passage_skeena_2022_reporting\data\8302070. This folder must be located in the same directory as this submission sheet, and have the same name as the project '8302070'. Please ensure this folder exists.</t>
  </si>
  <si>
    <t>An error occured locating the image Folder C:\Users\matwi\Projects\repo\fish_passage_skeena_2022_reporting\data\8302074. This folder must be located in the same directory as this submission sheet, and have the same name as the project '8302074'. Please ensure this folder exists.</t>
  </si>
  <si>
    <t>The supplied value of '' is not valid for Downstream Channel Width. Downstream Channel Width must be supplied if the stream crossing type is Closed Bottom Structure. The value supplied must be &gt;= 0 and &lt;=50.</t>
  </si>
  <si>
    <t>An error occured locating the image Folder C:\Users\matwi\Projects\repo\fish_passage_skeena_2022_reporting\data\8300115. This folder must be located in the same directory as this submission sheet, and have the same name as the project '8300115'. Please ensure this folder exists.</t>
  </si>
  <si>
    <t>An error occured locating the image Folder C:\Users\matwi\Projects\repo\fish_passage_skeena_2022_reporting\data\8300162. This folder must be located in the same directory as this submission sheet, and have the same name as the project '8300162'. Please ensure this folder exists.</t>
  </si>
  <si>
    <t>An error occured locating the image Folder C:\Users\matwi\Projects\repo\fish_passage_skeena_2022_reporting\data\2798180. This folder must be located in the same directory as this submission sheet, and have the same name as the project '2798180'. Please ensure this folder exists.</t>
  </si>
  <si>
    <t>An error occured locating the image Folder C:\Users\matwi\Projects\repo\fish_passage_skeena_2022_reporting\data\8300161. This folder must be located in the same directory as this submission sheet, and have the same name as the project '8300161'. Please ensure this folder exists.</t>
  </si>
  <si>
    <t>An error occured locating the image Folder C:\Users\matwi\Projects\repo\fish_passage_skeena_2022_reporting\data\8300124. This folder must be located in the same directory as this submission sheet, and have the same name as the project '8300124'. Please ensure this folder exists.</t>
  </si>
  <si>
    <t>An error occured locating the image Folder C:\Users\matwi\Projects\repo\fish_passage_skeena_2022_reporting\data\8302683. This folder must be located in the same directory as this submission sheet, and have the same name as the project '8302683'. Please ensure this folder exists.</t>
  </si>
  <si>
    <t>An error occured locating the image Folder C:\Users\matwi\Projects\repo\fish_passage_skeena_2022_reporting\data\8302061. This folder must be located in the same directory as this submission sheet, and have the same name as the project '8302061'. Please ensure this folder exists.</t>
  </si>
  <si>
    <t>An error occured locating the image Folder C:\Users\matwi\Projects\repo\fish_passage_skeena_2022_reporting\data\8302062. This folder must be located in the same directory as this submission sheet, and have the same name as the project '8302062'. Please ensure this folder exists.</t>
  </si>
  <si>
    <t>An error occured locating the image Folder C:\Users\matwi\Projects\repo\fish_passage_skeena_2022_reporting\data\8301747. This folder must be located in the same directory as this submission sheet, and have the same name as the project '8301747'. Please ensure this folder exists.</t>
  </si>
  <si>
    <t>An error occured locating the image Folder C:\Users\matwi\Projects\repo\fish_passage_skeena_2022_reporting\data\8301750. This folder must be located in the same directory as this submission sheet, and have the same name as the project '8301750'. Please ensure this folder exists.</t>
  </si>
  <si>
    <t>An error occured locating the image Folder C:\Users\matwi\Projects\repo\fish_passage_skeena_2022_reporting\data\8301761. This folder must be located in the same directory as this submission sheet, and have the same name as the project '8301761'. Please ensure this folder exists.</t>
  </si>
  <si>
    <t>An error occured locating the image Folder C:\Users\matwi\Projects\repo\fish_passage_skeena_2022_reporting\data\8300186. This folder must be located in the same directory as this submission sheet, and have the same name as the project '8300186'. Please ensure this folder exists.</t>
  </si>
  <si>
    <t>An error occured locating the image Folder C:\Users\matwi\Projects\repo\fish_passage_skeena_2022_reporting\data\8300105. This folder must be located in the same directory as this submission sheet, and have the same name as the project '8300105'. Please ensure this folder exists.</t>
  </si>
  <si>
    <t>An error occured locating the image Folder C:\Users\matwi\Projects\repo\fish_passage_skeena_2022_reporting\data\8300104. This folder must be located in the same directory as this submission sheet, and have the same name as the project '8300104'. Please ensure this folder exists.</t>
  </si>
  <si>
    <t>An error occured locating the image Folder C:\Users\matwi\Projects\repo\fish_passage_skeena_2022_reporting\data\8300103. This folder must be located in the same directory as this submission sheet, and have the same name as the project '8300103'. Please ensure this folder exists.</t>
  </si>
  <si>
    <t>An error occured locating the image Folder C:\Users\matwi\Projects\repo\fish_passage_skeena_2022_reporting\data\8300012. This folder must be located in the same directory as this submission sheet, and have the same name as the project '8300012'. Please ensure this folder exists.</t>
  </si>
  <si>
    <t>An error occured locating the image Folder C:\Users\matwi\Projects\repo\fish_passage_skeena_2022_reporting\data\8300917. This folder must be located in the same directory as this submission sheet, and have the same name as the project '8300917'. Please ensure this folder exists.</t>
  </si>
  <si>
    <t>An error occured locating the image Folder C:\Users\matwi\Projects\repo\fish_passage_skeena_2022_reporting\data\8300188. This folder must be located in the same directory as this submission sheet, and have the same name as the project '8300188'. Please ensure this folder exists.</t>
  </si>
  <si>
    <t>An error occured locating the image Folder C:\Users\matwi\Projects\repo\fish_passage_skeena_2022_reporting\data\2022090901. This folder must be located in the same directory as this submission sheet, and have the same name as the project '2022090901'. Please ensure this folder exists.</t>
  </si>
  <si>
    <t>An error occured locating the image Folder C:\Users\matwi\Projects\repo\fish_passage_skeena_2022_reporting\data\8302421. This folder must be located in the same directory as this submission sheet, and have the same name as the project '8302421'. Please ensure this folder exists.</t>
  </si>
  <si>
    <t>An error occured locating the image Folder C:\Users\matwi\Projects\repo\fish_passage_skeena_2022_reporting\data\8302065. This folder must be located in the same directory as this submission sheet, and have the same name as the project '8302065'. Please ensure this folder exists.</t>
  </si>
  <si>
    <t>An error occured locating the image Folder C:\Users\matwi\Projects\repo\fish_passage_skeena_2022_reporting\data\8300118. This folder must be located in the same directory as this submission sheet, and have the same name as the project '8300118'. Please ensure this folder exists.</t>
  </si>
  <si>
    <t>An error occured locating the image Folder C:\Users\matwi\Projects\repo\fish_passage_skeena_2022_reporting\data\2022090501. This folder must be located in the same directory as this submission sheet, and have the same name as the project '2022090501'. Please ensure this folder exists.</t>
  </si>
  <si>
    <t>An error occured locating the image Folder C:\Users\matwi\Projects\repo\fish_passage_skeena_2022_reporting\data\8300030. This folder must be located in the same directory as this submission sheet, and have the same name as the project '8300030'. Please ensure this folder exists.</t>
  </si>
  <si>
    <t>An error occured locating the image Folder C:\Users\matwi\Projects\repo\fish_passage_skeena_2022_reporting\data\8300111. This folder must be located in the same directory as this submission sheet, and have the same name as the project '8300111'. Please ensure this folder exists.</t>
  </si>
  <si>
    <t>An error occured locating the image Folder C:\Users\matwi\Projects\repo\fish_passage_skeena_2022_reporting\data\8302403. This folder must be located in the same directory as this submission sheet, and have the same name as the project '8302403'. Please ensure this folder exists.</t>
  </si>
  <si>
    <t>An error occured locating the image Folder C:\Users\matwi\Projects\repo\fish_passage_skeena_2022_reporting\data\8302407. This folder must be located in the same directory as this submission sheet, and have the same name as the project '8302407'. Please ensure this folder exists.</t>
  </si>
  <si>
    <t>An error occured locating the image Folder C:\Users\matwi\Projects\repo\fish_passage_skeena_2022_reporting\data\8301754. This folder must be located in the same directory as this submission sheet, and have the same name as the project '8301754'. Please ensure this folder exists.</t>
  </si>
  <si>
    <t>An error occured locating the image Folder C:\Users\matwi\Projects\repo\fish_passage_skeena_2022_reporting\data\8301749. This folder must be located in the same directory as this submission sheet, and have the same name as the project '8301749'. Please ensure this folder exists.</t>
  </si>
  <si>
    <t>An error occured locating the image Folder C:\Users\matwi\Projects\repo\fish_passage_skeena_2022_reporting\data\8301748. This folder must be located in the same directory as this submission sheet, and have the same name as the project '8301748'. Please ensure this folder exists.</t>
  </si>
  <si>
    <t>An error occured locating the image Folder C:\Users\matwi\Projects\repo\fish_passage_skeena_2022_reporting\data\8300042. This folder must be located in the same directory as this submission sheet, and have the same name as the project '8300042'. Please ensure this folder exists.</t>
  </si>
  <si>
    <t>An error occured locating the image Folder C:\Users\matwi\Projects\repo\fish_passage_skeena_2022_reporting\data\8300054. This folder must be located in the same directory as this submission sheet, and have the same name as the project '8300054'. Please ensure this folder exists.</t>
  </si>
  <si>
    <t>An error occured locating the image Folder C:\Users\matwi\Projects\repo\fish_passage_skeena_2022_reporting\data\8301485. This folder must be located in the same directory as this submission sheet, and have the same name as the project '8301485'. Please ensure this folder exists.</t>
  </si>
  <si>
    <t>An error occured locating the image Folder C:\Users\matwi\Projects\repo\fish_passage_skeena_2022_reporting\data\2787053. This folder must be located in the same directory as this submission sheet, and have the same name as the project '2787053'. Please ensure this folder exists.</t>
  </si>
  <si>
    <t>An error occured locating the image Folder C:\Users\matwi\Projects\repo\fish_passage_skeena_2022_reporting\data\8300033. This folder must be located in the same directory as this submission sheet, and have the same name as the project '8300033'. Please ensure this folder exists.</t>
  </si>
  <si>
    <t>An error occured locating the image Folder C:\Users\matwi\Projects\repo\fish_passage_skeena_2022_reporting\data\8300095. This folder must be located in the same directory as this submission sheet, and have the same name as the project '8300095'. Please ensure this folder exists.</t>
  </si>
  <si>
    <t>An error occured locating the image Folder C:\Users\matwi\Projects\repo\fish_passage_skeena_2022_reporting\data\8300178. This folder must be located in the same directory as this submission sheet, and have the same name as the project '8300178'. Please ensure this folder exists.</t>
  </si>
  <si>
    <t>An error occured locating the image Folder C:\Users\matwi\Projects\repo\fish_passage_skeena_2022_reporting\data\8302257. This folder must be located in the same directory as this submission sheet, and have the same name as the project '8302257'. Please ensure this folder exists.</t>
  </si>
  <si>
    <t>An error occured locating the image Folder C:\Users\matwi\Projects\repo\fish_passage_skeena_2022_reporting\data\8300238. This folder must be located in the same directory as this submission sheet, and have the same name as the project '8300238'. Please ensure this folder exists.</t>
  </si>
  <si>
    <t>An error occured locating the image Folder C:\Users\matwi\Projects\repo\fish_passage_skeena_2022_reporting\data\4601067. This folder must be located in the same directory as this submission sheet, and have the same name as the project '4601067'. Please ensure this folder exists.</t>
  </si>
  <si>
    <t>An error occured locating the image Folder C:\Users\matwi\Projects\repo\fish_passage_skeena_2022_reporting\data\8300128. This folder must be located in the same directory as this submission sheet, and have the same name as the project '8300128'. Please ensure this folder exists.</t>
  </si>
  <si>
    <t>An error occured locating the image Folder C:\Users\matwi\Projects\repo\fish_passage_skeena_2022_reporting\data\4709789. This folder must be located in the same directory as this submission sheet, and have the same name as the project '4709789'. Please ensure this folder exists.</t>
  </si>
  <si>
    <t>An error occured locating the image Folder C:\Users\matwi\Projects\repo\fish_passage_skeena_2022_reporting\data\24709790. This folder must be located in the same directory as this submission sheet, and have the same name as the project '24709790'. Please ensure this folder exists.</t>
  </si>
  <si>
    <t>An error occured locating the image Folder C:\Users\matwi\Projects\repo\fish_passage_skeena_2022_reporting\data\8302244. This folder must be located in the same directory as this submission sheet, and have the same name as the project '8302244'. Please ensure this folder exists.</t>
  </si>
  <si>
    <t>An error occured locating the image Folder C:\Users\matwi\Projects\repo\fish_passage_skeena_2022_reporting\data\8300390. This folder must be located in the same directory as this submission sheet, and have the same name as the project '8300390'. Please ensure this folder exists.</t>
  </si>
  <si>
    <t>An error occured locating the image Folder C:\Users\matwi\Projects\repo\fish_passage_skeena_2022_reporting\data\8300108. This folder must be located in the same directory as this submission sheet, and have the same name as the project '8300108'. Please ensure this folder exists.</t>
  </si>
  <si>
    <t>An error occured locating the image Folder C:\Users\matwi\Projects\repo\fish_passage_skeena_2022_reporting\data\8302755. This folder must be located in the same directory as this submission sheet, and have the same name as the project '8302755'. Please ensure this folder exists.</t>
  </si>
  <si>
    <t>An error occured locating the image Folder C:\Users\matwi\Projects\repo\fish_passage_skeena_2022_reporting\data\8302410. This folder must be located in the same directory as this submission sheet, and have the same name as the project '8302410'. Please ensure this folder exists.</t>
  </si>
  <si>
    <t>An error occured locating the image Folder C:\Users\matwi\Projects\repo\fish_passage_skeena_2022_reporting\data\8302779. This folder must be located in the same directory as this submission sheet, and have the same name as the project '8302779'. Please ensure this folder exists.</t>
  </si>
  <si>
    <t>An error occured locating the image Folder C:\Users\matwi\Projects\repo\fish_passage_skeena_2022_reporting\data\8301892. This folder must be located in the same directory as this submission sheet, and have the same name as the project '8301892'. Please ensure this folder exists.</t>
  </si>
  <si>
    <t>An error occured locating the image Folder C:\Users\matwi\Projects\repo\fish_passage_skeena_2022_reporting\data\8302212. This folder must be located in the same directory as this submission sheet, and have the same name as the project '8302212'. Please ensure this folder exists.</t>
  </si>
  <si>
    <t>An error occured locating the image Folder C:\Users\matwi\Projects\repo\fish_passage_skeena_2022_reporting\data\8301994. This folder must be located in the same directory as this submission sheet, and have the same name as the project '8301994'. Please ensure this folder exists.</t>
  </si>
  <si>
    <t>An error occured locating the image Folder C:\Users\matwi\Projects\repo\fish_passage_skeena_2022_reporting\data\4600909. This folder must be located in the same directory as this submission sheet, and have the same name as the project '4600909'. Please ensure this folder exists.</t>
  </si>
  <si>
    <t>An error occured locating the image Folder C:\Users\matwi\Projects\repo\fish_passage_skeena_2022_reporting\data\4600907. This folder must be located in the same directory as this submission sheet, and have the same name as the project '4600907'. Please ensure this folder exists.</t>
  </si>
  <si>
    <t>An error occured locating the image Folder C:\Users\matwi\Projects\repo\fish_passage_skeena_2022_reporting\data\4742005. This folder must be located in the same directory as this submission sheet, and have the same name as the project '4742005'. Please ensure this folder exists.</t>
  </si>
  <si>
    <t>An error occured locating the image Folder C:\Users\matwi\Projects\repo\fish_passage_skeena_2022_reporting\data\8300090. This folder must be located in the same directory as this submission sheet, and have the same name as the project '8300090'. Please ensure this folder exists.</t>
  </si>
  <si>
    <t>Hankin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</si>
</sst>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2" sqref="B12"/>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240</v>
      </c>
    </row>
    <row r="5" spans="1:20" x14ac:dyDescent="0.25">
      <c r="A5" s="4" t="s">
        <v>58</v>
      </c>
      <c r="B5" t="s">
        <v>241</v>
      </c>
    </row>
    <row r="6" spans="1:20" x14ac:dyDescent="0.25">
      <c r="A6" s="4"/>
      <c r="B6" s="10"/>
    </row>
    <row r="7" spans="1:20" x14ac:dyDescent="0.25">
      <c r="A7" s="4" t="s">
        <v>86</v>
      </c>
      <c r="B7" s="83" t="s">
        <v>242</v>
      </c>
    </row>
    <row r="8" spans="1:20" x14ac:dyDescent="0.25">
      <c r="A8" s="4" t="s">
        <v>73</v>
      </c>
      <c r="B8" t="s">
        <v>243</v>
      </c>
    </row>
    <row r="9" spans="1:20" x14ac:dyDescent="0.25">
      <c r="A9" s="4" t="s">
        <v>74</v>
      </c>
      <c r="B9" t="s">
        <v>244</v>
      </c>
    </row>
    <row r="10" spans="1:20" x14ac:dyDescent="0.25">
      <c r="A10" s="4" t="s">
        <v>75</v>
      </c>
      <c r="B10" s="84" t="s">
        <v>245</v>
      </c>
    </row>
    <row r="11" spans="1:20" x14ac:dyDescent="0.25">
      <c r="A11" s="4"/>
      <c r="B11" s="10"/>
    </row>
    <row r="12" spans="1:20" x14ac:dyDescent="0.25">
      <c r="A12" s="4" t="s">
        <v>36</v>
      </c>
      <c r="B12" s="83" t="s">
        <v>246</v>
      </c>
    </row>
    <row r="13" spans="1:20" x14ac:dyDescent="0.25">
      <c r="A13" s="4" t="s">
        <v>37</v>
      </c>
      <c r="B13" t="s">
        <v>243</v>
      </c>
    </row>
    <row r="14" spans="1:20" x14ac:dyDescent="0.25">
      <c r="A14" s="4" t="s">
        <v>38</v>
      </c>
      <c r="B14" t="s">
        <v>244</v>
      </c>
    </row>
    <row r="15" spans="1:20" x14ac:dyDescent="0.25">
      <c r="A15" s="4" t="s">
        <v>39</v>
      </c>
      <c r="B15" s="84" t="s">
        <v>245</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78D5CD5-4583-4633-84FD-6A55F06CC6E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I1" zoomScale="90" zoomScaleNormal="90" workbookViewId="0">
      <pane ySplit="4" topLeftCell="A5" activePane="bottomLeft" state="frozen"/>
      <selection pane="bottomLeft" activeCell="Z10" sqref="Z10"/>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44809</v>
      </c>
      <c r="C5" s="10">
        <v>8301039</v>
      </c>
      <c r="D5" s="10" t="s">
        <v>93</v>
      </c>
      <c r="E5" s="11">
        <v>9</v>
      </c>
      <c r="F5" s="39">
        <v>567730</v>
      </c>
      <c r="G5" s="39">
        <v>6152762</v>
      </c>
      <c r="H5" s="11" t="s">
        <v>100</v>
      </c>
      <c r="I5" s="11" t="s">
        <v>94</v>
      </c>
      <c r="J5" s="33"/>
      <c r="K5" s="11" t="s">
        <v>216</v>
      </c>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t="s">
        <v>217</v>
      </c>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106</v>
      </c>
    </row>
    <row r="7" spans="1:42" x14ac:dyDescent="0.25">
      <c r="A7" s="59">
        <v>44809</v>
      </c>
      <c r="C7" s="10">
        <v>8302064</v>
      </c>
      <c r="D7" s="10" t="s">
        <v>93</v>
      </c>
      <c r="E7" s="11">
        <v>9</v>
      </c>
      <c r="F7" s="39">
        <v>567986</v>
      </c>
      <c r="G7" s="39">
        <v>6151778</v>
      </c>
      <c r="H7" s="10" t="s">
        <v>100</v>
      </c>
      <c r="I7" s="11" t="s">
        <v>231</v>
      </c>
      <c r="J7" s="33">
        <v>9.9</v>
      </c>
      <c r="K7" s="10" t="s">
        <v>217</v>
      </c>
      <c r="L7" s="10" t="s">
        <v>98</v>
      </c>
      <c r="M7" s="10" t="s">
        <v>103</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104</v>
      </c>
      <c r="AE7" s="10" t="s">
        <v>105</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N7" s="10" t="s">
        <v>238</v>
      </c>
      <c r="AO7" s="10">
        <v>3</v>
      </c>
      <c r="AP7" s="10" t="s">
        <v>107</v>
      </c>
    </row>
    <row r="8" spans="1:42" x14ac:dyDescent="0.25">
      <c r="A8" s="59">
        <v>44809</v>
      </c>
      <c r="B8" s="82"/>
      <c r="C8" s="10">
        <v>8302070</v>
      </c>
      <c r="D8" s="10" t="s">
        <v>93</v>
      </c>
      <c r="E8" s="11">
        <v>9</v>
      </c>
      <c r="F8" s="39">
        <v>570210.42079999996</v>
      </c>
      <c r="G8" s="39">
        <v>6150339.8130000001</v>
      </c>
      <c r="H8" s="10" t="s">
        <v>100</v>
      </c>
      <c r="I8" s="11" t="s">
        <v>231</v>
      </c>
      <c r="J8" s="79"/>
      <c r="K8" s="81" t="s">
        <v>217</v>
      </c>
      <c r="L8" s="10" t="s">
        <v>98</v>
      </c>
      <c r="M8" s="10" t="s">
        <v>103</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104</v>
      </c>
      <c r="AE8" s="10" t="s">
        <v>105</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N8" s="10" t="s">
        <v>239</v>
      </c>
      <c r="AO8" s="10">
        <v>10</v>
      </c>
      <c r="AP8" s="10" t="s">
        <v>109</v>
      </c>
    </row>
    <row r="9" spans="1:42" x14ac:dyDescent="0.25">
      <c r="A9" s="59">
        <v>44809</v>
      </c>
      <c r="C9" s="10">
        <v>8302074</v>
      </c>
      <c r="D9" s="10" t="s">
        <v>93</v>
      </c>
      <c r="E9" s="11">
        <v>9</v>
      </c>
      <c r="F9" s="39">
        <v>570565.80189999996</v>
      </c>
      <c r="G9" s="39">
        <v>6150060.023</v>
      </c>
      <c r="H9" s="10" t="s">
        <v>100</v>
      </c>
      <c r="I9" s="11" t="s">
        <v>231</v>
      </c>
      <c r="J9" s="33"/>
      <c r="K9" s="81" t="s">
        <v>217</v>
      </c>
      <c r="L9" s="10" t="s">
        <v>98</v>
      </c>
      <c r="M9" s="10" t="s">
        <v>103</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104</v>
      </c>
      <c r="AE9" s="10" t="s">
        <v>108</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N9" s="10" t="s">
        <v>238</v>
      </c>
      <c r="AO9" s="10">
        <v>3</v>
      </c>
      <c r="AP9" s="10" t="s">
        <v>110</v>
      </c>
    </row>
    <row r="10" spans="1:42" x14ac:dyDescent="0.25">
      <c r="A10" s="59">
        <v>44809</v>
      </c>
      <c r="C10" s="10">
        <v>8300115</v>
      </c>
      <c r="D10" s="10" t="s">
        <v>93</v>
      </c>
      <c r="E10" s="11">
        <v>9</v>
      </c>
      <c r="F10" s="39">
        <v>574866.26289999997</v>
      </c>
      <c r="G10" s="39">
        <v>6149021.1509999996</v>
      </c>
      <c r="H10" s="78" t="s">
        <v>111</v>
      </c>
      <c r="I10" s="11" t="s">
        <v>231</v>
      </c>
      <c r="J10" s="33"/>
      <c r="K10" s="10" t="s">
        <v>218</v>
      </c>
      <c r="L10" s="10" t="s">
        <v>98</v>
      </c>
      <c r="M10" s="10" t="s">
        <v>103</v>
      </c>
      <c r="N10" s="21">
        <v>0.7</v>
      </c>
      <c r="O10" s="21">
        <v>11</v>
      </c>
      <c r="P10" s="10" t="s">
        <v>96</v>
      </c>
      <c r="Q10" s="88"/>
      <c r="R10" s="10" t="s">
        <v>96</v>
      </c>
      <c r="S10" s="10" t="s">
        <v>96</v>
      </c>
      <c r="T10" s="88"/>
      <c r="U10" s="21">
        <v>0.3</v>
      </c>
      <c r="V10" s="10">
        <v>0</v>
      </c>
      <c r="W10" s="21">
        <v>0</v>
      </c>
      <c r="X10" s="10" t="s">
        <v>96</v>
      </c>
      <c r="Y10" s="21">
        <v>2</v>
      </c>
      <c r="Z10" s="21">
        <v>1.3</v>
      </c>
      <c r="AA10" s="10">
        <v>1</v>
      </c>
      <c r="AB10" s="10" t="s">
        <v>96</v>
      </c>
      <c r="AC10" s="10" t="s">
        <v>96</v>
      </c>
      <c r="AD10" s="10" t="s">
        <v>104</v>
      </c>
      <c r="AE10" s="10" t="s">
        <v>108</v>
      </c>
      <c r="AF10" s="20">
        <f t="shared" si="0"/>
        <v>1.8571428571428574</v>
      </c>
      <c r="AG10" s="13">
        <f t="shared" si="1"/>
        <v>0</v>
      </c>
      <c r="AH10" s="7">
        <f t="shared" si="2"/>
        <v>10</v>
      </c>
      <c r="AI10" s="7">
        <f t="shared" si="3"/>
        <v>0</v>
      </c>
      <c r="AJ10" s="7">
        <f t="shared" si="4"/>
        <v>5</v>
      </c>
      <c r="AK10" s="7">
        <f t="shared" si="5"/>
        <v>6</v>
      </c>
      <c r="AL10" s="12">
        <f t="shared" si="6"/>
        <v>21</v>
      </c>
      <c r="AM10" s="14" t="str">
        <f t="shared" si="7"/>
        <v>Barrier</v>
      </c>
      <c r="AN10" s="91" t="s">
        <v>238</v>
      </c>
      <c r="AO10" s="92">
        <v>3</v>
      </c>
      <c r="AP10" s="10" t="s">
        <v>112</v>
      </c>
    </row>
    <row r="11" spans="1:42" ht="30" x14ac:dyDescent="0.25">
      <c r="A11" s="59">
        <v>44809</v>
      </c>
      <c r="C11" s="78">
        <v>8300162</v>
      </c>
      <c r="D11" s="10" t="s">
        <v>93</v>
      </c>
      <c r="E11" s="11">
        <v>9</v>
      </c>
      <c r="F11" s="80">
        <v>573033.22470000002</v>
      </c>
      <c r="G11" s="80">
        <v>6151996.9409999996</v>
      </c>
      <c r="H11" s="11" t="s">
        <v>100</v>
      </c>
      <c r="I11" s="11" t="s">
        <v>149</v>
      </c>
      <c r="J11" s="33"/>
      <c r="K11" s="10" t="s">
        <v>218</v>
      </c>
      <c r="L11" s="10" t="s">
        <v>98</v>
      </c>
      <c r="M11" s="10" t="s">
        <v>103</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104</v>
      </c>
      <c r="AE11" s="10" t="s">
        <v>108</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N11" s="10" t="s">
        <v>238</v>
      </c>
      <c r="AO11" s="10">
        <v>3</v>
      </c>
      <c r="AP11" s="10" t="s">
        <v>113</v>
      </c>
    </row>
    <row r="12" spans="1:42" ht="30" x14ac:dyDescent="0.25">
      <c r="A12" s="59">
        <v>44809</v>
      </c>
      <c r="C12" s="10">
        <v>2798180</v>
      </c>
      <c r="D12" s="10" t="s">
        <v>93</v>
      </c>
      <c r="E12" s="11">
        <v>9</v>
      </c>
      <c r="F12" s="39">
        <v>573036.04639999999</v>
      </c>
      <c r="G12" s="39">
        <v>6151831.1710000001</v>
      </c>
      <c r="H12" s="11" t="s">
        <v>100</v>
      </c>
      <c r="I12" s="11" t="s">
        <v>149</v>
      </c>
      <c r="J12" s="33"/>
      <c r="K12" s="11" t="s">
        <v>218</v>
      </c>
      <c r="L12" s="10" t="s">
        <v>98</v>
      </c>
      <c r="M12" s="10" t="s">
        <v>103</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104</v>
      </c>
      <c r="AE12" s="10" t="s">
        <v>108</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239</v>
      </c>
      <c r="AO12" s="21">
        <v>10</v>
      </c>
      <c r="AP12" s="10" t="s">
        <v>114</v>
      </c>
    </row>
    <row r="13" spans="1:42" ht="30" x14ac:dyDescent="0.25">
      <c r="A13" s="59">
        <v>44809</v>
      </c>
      <c r="C13" s="10">
        <v>8300161</v>
      </c>
      <c r="D13" s="10" t="s">
        <v>93</v>
      </c>
      <c r="E13" s="11">
        <v>9</v>
      </c>
      <c r="F13" s="39">
        <v>575069.51780000003</v>
      </c>
      <c r="G13" s="39">
        <v>6150345.2690000003</v>
      </c>
      <c r="H13" s="11" t="s">
        <v>100</v>
      </c>
      <c r="I13" s="11" t="s">
        <v>149</v>
      </c>
      <c r="K13" s="11" t="s">
        <v>218</v>
      </c>
      <c r="L13" s="10" t="s">
        <v>98</v>
      </c>
      <c r="M13" s="10" t="s">
        <v>103</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104</v>
      </c>
      <c r="AE13" s="10" t="s">
        <v>108</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N13" s="10" t="s">
        <v>239</v>
      </c>
      <c r="AO13" s="21">
        <v>10</v>
      </c>
      <c r="AP13" s="10" t="s">
        <v>115</v>
      </c>
    </row>
    <row r="14" spans="1:42" ht="30" x14ac:dyDescent="0.25">
      <c r="A14" s="59">
        <v>44810</v>
      </c>
      <c r="C14" s="10">
        <v>8300124</v>
      </c>
      <c r="D14" s="10" t="s">
        <v>206</v>
      </c>
      <c r="E14" s="11">
        <v>9</v>
      </c>
      <c r="F14" s="39">
        <v>533805.93259999994</v>
      </c>
      <c r="G14" s="39">
        <v>6176387.0520000001</v>
      </c>
      <c r="H14" s="11" t="s">
        <v>116</v>
      </c>
      <c r="I14" s="11" t="s">
        <v>232</v>
      </c>
      <c r="K14" s="11" t="s">
        <v>218</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117</v>
      </c>
    </row>
    <row r="15" spans="1:42" x14ac:dyDescent="0.25">
      <c r="A15" s="59">
        <v>44810</v>
      </c>
      <c r="C15" s="10">
        <v>8302683</v>
      </c>
      <c r="D15" s="10" t="s">
        <v>93</v>
      </c>
      <c r="E15" s="11">
        <v>9</v>
      </c>
      <c r="F15" s="39">
        <v>541972.93279999995</v>
      </c>
      <c r="G15" s="39">
        <v>6174712.2010000004</v>
      </c>
      <c r="H15" s="11" t="s">
        <v>118</v>
      </c>
      <c r="I15" s="11" t="s">
        <v>119</v>
      </c>
      <c r="K15" s="11" t="s">
        <v>219</v>
      </c>
      <c r="L15" s="10" t="s">
        <v>98</v>
      </c>
      <c r="M15" s="10" t="s">
        <v>103</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104</v>
      </c>
      <c r="AE15" s="10" t="s">
        <v>108</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N15" s="10" t="s">
        <v>238</v>
      </c>
      <c r="AO15" s="21">
        <v>3</v>
      </c>
      <c r="AP15" s="10" t="s">
        <v>120</v>
      </c>
    </row>
    <row r="16" spans="1:42" ht="45" x14ac:dyDescent="0.25">
      <c r="A16" s="59">
        <v>44810</v>
      </c>
      <c r="C16" s="10">
        <v>8302061</v>
      </c>
      <c r="D16" s="10" t="s">
        <v>93</v>
      </c>
      <c r="E16" s="11">
        <v>9</v>
      </c>
      <c r="F16" s="39">
        <v>554147.7879</v>
      </c>
      <c r="G16" s="39">
        <v>6166257.2560000001</v>
      </c>
      <c r="H16" s="11" t="s">
        <v>100</v>
      </c>
      <c r="I16" s="11" t="s">
        <v>121</v>
      </c>
      <c r="K16" s="11" t="s">
        <v>220</v>
      </c>
      <c r="L16" s="10" t="s">
        <v>98</v>
      </c>
      <c r="M16" s="10" t="s">
        <v>103</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104</v>
      </c>
      <c r="AE16" s="10" t="s">
        <v>105</v>
      </c>
      <c r="AF16" s="20">
        <f t="shared" si="8"/>
        <v>3</v>
      </c>
      <c r="AG16" s="13">
        <f t="shared" si="1"/>
        <v>0</v>
      </c>
      <c r="AH16" s="7">
        <f t="shared" si="2"/>
        <v>10</v>
      </c>
      <c r="AI16" s="7">
        <f t="shared" si="3"/>
        <v>5</v>
      </c>
      <c r="AJ16" s="7">
        <f t="shared" si="4"/>
        <v>10</v>
      </c>
      <c r="AK16" s="7">
        <f t="shared" si="5"/>
        <v>6</v>
      </c>
      <c r="AL16" s="12">
        <f t="shared" si="9"/>
        <v>31</v>
      </c>
      <c r="AM16" s="14" t="str">
        <f t="shared" si="7"/>
        <v>Barrier</v>
      </c>
      <c r="AN16" s="10" t="s">
        <v>238</v>
      </c>
      <c r="AO16" s="21">
        <v>3</v>
      </c>
      <c r="AP16" s="10" t="s">
        <v>122</v>
      </c>
    </row>
    <row r="17" spans="1:42" ht="45" x14ac:dyDescent="0.25">
      <c r="A17" s="59">
        <v>44810</v>
      </c>
      <c r="C17" s="10">
        <v>8302062</v>
      </c>
      <c r="D17" s="10" t="s">
        <v>93</v>
      </c>
      <c r="E17" s="11">
        <v>9</v>
      </c>
      <c r="F17" s="39">
        <v>554493.42290000001</v>
      </c>
      <c r="G17" s="39">
        <v>6166450.3210000005</v>
      </c>
      <c r="H17" s="11" t="s">
        <v>100</v>
      </c>
      <c r="I17" s="11" t="s">
        <v>121</v>
      </c>
      <c r="K17" s="11" t="s">
        <v>220</v>
      </c>
      <c r="L17" s="10" t="s">
        <v>98</v>
      </c>
      <c r="M17" s="10" t="s">
        <v>103</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104</v>
      </c>
      <c r="AE17" s="10" t="s">
        <v>108</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N17" s="10" t="s">
        <v>238</v>
      </c>
      <c r="AO17" s="21">
        <v>3</v>
      </c>
      <c r="AP17" s="10" t="s">
        <v>123</v>
      </c>
    </row>
    <row r="18" spans="1:42" ht="30" x14ac:dyDescent="0.25">
      <c r="A18" s="59">
        <v>44811</v>
      </c>
      <c r="C18" s="10">
        <v>8301747</v>
      </c>
      <c r="D18" s="10" t="s">
        <v>93</v>
      </c>
      <c r="E18" s="11">
        <v>9</v>
      </c>
      <c r="F18" s="39">
        <v>563272.94649999996</v>
      </c>
      <c r="G18" s="39">
        <v>6170770.1799999997</v>
      </c>
      <c r="H18" s="11" t="s">
        <v>125</v>
      </c>
      <c r="I18" s="11" t="s">
        <v>124</v>
      </c>
      <c r="K18" s="11" t="s">
        <v>221</v>
      </c>
      <c r="L18" s="10" t="s">
        <v>98</v>
      </c>
      <c r="M18" s="10" t="s">
        <v>103</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104</v>
      </c>
      <c r="AE18" s="10" t="s">
        <v>108</v>
      </c>
      <c r="AF18" s="20">
        <f t="shared" si="8"/>
        <v>1.5</v>
      </c>
      <c r="AG18" s="13">
        <f t="shared" si="1"/>
        <v>0</v>
      </c>
      <c r="AH18" s="7">
        <f t="shared" si="2"/>
        <v>10</v>
      </c>
      <c r="AI18" s="7">
        <f t="shared" si="3"/>
        <v>10</v>
      </c>
      <c r="AJ18" s="7">
        <f t="shared" si="4"/>
        <v>10</v>
      </c>
      <c r="AK18" s="7">
        <f t="shared" si="5"/>
        <v>6</v>
      </c>
      <c r="AL18" s="12">
        <f t="shared" si="9"/>
        <v>36</v>
      </c>
      <c r="AM18" s="14" t="str">
        <f t="shared" si="7"/>
        <v>Barrier</v>
      </c>
      <c r="AN18" s="10" t="s">
        <v>238</v>
      </c>
      <c r="AO18" s="21">
        <v>3</v>
      </c>
      <c r="AP18" s="10" t="s">
        <v>126</v>
      </c>
    </row>
    <row r="19" spans="1:42" ht="30" x14ac:dyDescent="0.25">
      <c r="A19" s="59">
        <v>44811</v>
      </c>
      <c r="C19" s="10">
        <v>8301750</v>
      </c>
      <c r="D19" s="10" t="s">
        <v>93</v>
      </c>
      <c r="E19" s="11">
        <v>9</v>
      </c>
      <c r="F19" s="39">
        <v>563429.41749999998</v>
      </c>
      <c r="G19" s="39">
        <v>6170437.2060000002</v>
      </c>
      <c r="H19" s="11" t="s">
        <v>125</v>
      </c>
      <c r="I19" s="11" t="s">
        <v>124</v>
      </c>
      <c r="J19" s="33">
        <v>15.1</v>
      </c>
      <c r="K19" s="11" t="s">
        <v>221</v>
      </c>
      <c r="L19" s="10" t="s">
        <v>98</v>
      </c>
      <c r="M19" s="10" t="s">
        <v>103</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104</v>
      </c>
      <c r="AE19" s="10" t="s">
        <v>105</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N19" s="10" t="s">
        <v>238</v>
      </c>
      <c r="AO19" s="21">
        <v>3</v>
      </c>
      <c r="AP19" s="10" t="s">
        <v>127</v>
      </c>
    </row>
    <row r="20" spans="1:42" ht="30" x14ac:dyDescent="0.25">
      <c r="A20" s="59">
        <v>44811</v>
      </c>
      <c r="C20" s="10">
        <v>8301761</v>
      </c>
      <c r="D20" s="10" t="s">
        <v>93</v>
      </c>
      <c r="E20" s="11">
        <v>9</v>
      </c>
      <c r="F20" s="39">
        <v>563960.53220000002</v>
      </c>
      <c r="G20" s="39">
        <v>6165290.9079999998</v>
      </c>
      <c r="H20" s="11" t="s">
        <v>125</v>
      </c>
      <c r="I20" s="11" t="s">
        <v>124</v>
      </c>
      <c r="J20" s="33"/>
      <c r="K20" s="11" t="s">
        <v>221</v>
      </c>
      <c r="L20" s="10" t="s">
        <v>98</v>
      </c>
      <c r="M20" s="10" t="s">
        <v>103</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104</v>
      </c>
      <c r="AE20" s="10" t="s">
        <v>108</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N20" s="10" t="s">
        <v>238</v>
      </c>
      <c r="AO20" s="10">
        <v>3</v>
      </c>
      <c r="AP20" s="10" t="s">
        <v>128</v>
      </c>
    </row>
    <row r="21" spans="1:42" x14ac:dyDescent="0.25">
      <c r="A21" s="59">
        <v>44812</v>
      </c>
      <c r="C21" s="10">
        <v>8300186</v>
      </c>
      <c r="D21" s="10" t="s">
        <v>93</v>
      </c>
      <c r="E21" s="10">
        <v>9</v>
      </c>
      <c r="F21" s="21">
        <v>581810.45550000004</v>
      </c>
      <c r="G21" s="21">
        <v>6137777.7019999996</v>
      </c>
      <c r="H21" s="10" t="s">
        <v>100</v>
      </c>
      <c r="I21" s="10" t="s">
        <v>233</v>
      </c>
      <c r="J21" s="33">
        <v>3.9</v>
      </c>
      <c r="K21" s="10" t="s">
        <v>218</v>
      </c>
      <c r="L21" s="10" t="s">
        <v>98</v>
      </c>
      <c r="M21" s="10" t="s">
        <v>103</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104</v>
      </c>
      <c r="AE21" s="10" t="s">
        <v>108</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N21" s="10" t="s">
        <v>239</v>
      </c>
      <c r="AO21" s="21">
        <v>10</v>
      </c>
      <c r="AP21" s="10" t="s">
        <v>129</v>
      </c>
    </row>
    <row r="22" spans="1:42" x14ac:dyDescent="0.25">
      <c r="A22" s="59">
        <v>44812</v>
      </c>
      <c r="C22" s="10">
        <v>8300105</v>
      </c>
      <c r="D22" s="10" t="s">
        <v>93</v>
      </c>
      <c r="E22" s="11">
        <v>9</v>
      </c>
      <c r="F22" s="39">
        <v>578249.7291</v>
      </c>
      <c r="G22" s="39">
        <v>6150754.466</v>
      </c>
      <c r="H22" s="10" t="s">
        <v>100</v>
      </c>
      <c r="I22" s="11" t="s">
        <v>232</v>
      </c>
      <c r="K22" s="11" t="s">
        <v>218</v>
      </c>
      <c r="L22" s="10" t="s">
        <v>98</v>
      </c>
      <c r="M22" s="10" t="s">
        <v>103</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104</v>
      </c>
      <c r="AE22" s="10" t="s">
        <v>108</v>
      </c>
      <c r="AF22" s="20">
        <f t="shared" si="8"/>
        <v>2</v>
      </c>
      <c r="AG22" s="13">
        <f t="shared" si="1"/>
        <v>0</v>
      </c>
      <c r="AH22" s="7">
        <f t="shared" si="2"/>
        <v>10</v>
      </c>
      <c r="AI22" s="7">
        <f t="shared" si="3"/>
        <v>10</v>
      </c>
      <c r="AJ22" s="7">
        <f t="shared" si="4"/>
        <v>5</v>
      </c>
      <c r="AK22" s="7">
        <f t="shared" si="5"/>
        <v>6</v>
      </c>
      <c r="AL22" s="12">
        <f t="shared" si="9"/>
        <v>31</v>
      </c>
      <c r="AM22" s="14" t="str">
        <f t="shared" si="7"/>
        <v>Barrier</v>
      </c>
      <c r="AN22" s="10" t="s">
        <v>238</v>
      </c>
      <c r="AO22" s="21">
        <v>3</v>
      </c>
      <c r="AP22" s="10" t="s">
        <v>130</v>
      </c>
    </row>
    <row r="23" spans="1:42" x14ac:dyDescent="0.25">
      <c r="A23" s="59">
        <v>44812</v>
      </c>
      <c r="C23" s="10">
        <v>8300104</v>
      </c>
      <c r="D23" s="10" t="s">
        <v>93</v>
      </c>
      <c r="E23" s="11">
        <v>9</v>
      </c>
      <c r="F23" s="39">
        <v>579148.46010000003</v>
      </c>
      <c r="G23" s="39">
        <v>6149784.1529999999</v>
      </c>
      <c r="H23" s="10" t="s">
        <v>100</v>
      </c>
      <c r="I23" s="11" t="s">
        <v>232</v>
      </c>
      <c r="K23" s="11" t="s">
        <v>218</v>
      </c>
      <c r="L23" s="10" t="s">
        <v>98</v>
      </c>
      <c r="M23" s="10" t="s">
        <v>103</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104</v>
      </c>
      <c r="AE23" s="10" t="s">
        <v>108</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N23" s="10" t="s">
        <v>238</v>
      </c>
      <c r="AO23" s="21">
        <v>3</v>
      </c>
      <c r="AP23" s="10" t="s">
        <v>131</v>
      </c>
    </row>
    <row r="24" spans="1:42" x14ac:dyDescent="0.25">
      <c r="A24" s="59">
        <v>44812</v>
      </c>
      <c r="C24" s="10">
        <v>8300103</v>
      </c>
      <c r="D24" s="10" t="s">
        <v>93</v>
      </c>
      <c r="E24" s="11">
        <v>9</v>
      </c>
      <c r="F24" s="39">
        <v>580494.92260000005</v>
      </c>
      <c r="G24" s="39">
        <v>6146060.8380000005</v>
      </c>
      <c r="H24" s="10" t="s">
        <v>100</v>
      </c>
      <c r="I24" s="11" t="s">
        <v>232</v>
      </c>
      <c r="K24" s="11" t="s">
        <v>218</v>
      </c>
      <c r="L24" s="10" t="s">
        <v>98</v>
      </c>
      <c r="M24" s="10" t="s">
        <v>103</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104</v>
      </c>
      <c r="AE24" s="10" t="s">
        <v>108</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N24" s="10" t="s">
        <v>238</v>
      </c>
      <c r="AO24" s="21">
        <v>3</v>
      </c>
      <c r="AP24" s="10" t="s">
        <v>132</v>
      </c>
    </row>
    <row r="25" spans="1:42" ht="30" x14ac:dyDescent="0.25">
      <c r="A25" s="59">
        <v>44813</v>
      </c>
      <c r="C25" s="10">
        <v>8300012</v>
      </c>
      <c r="D25" s="10" t="s">
        <v>93</v>
      </c>
      <c r="E25" s="11">
        <v>9</v>
      </c>
      <c r="F25" s="39">
        <v>563541.58660000004</v>
      </c>
      <c r="G25" s="39">
        <v>6109764.7000000002</v>
      </c>
      <c r="H25" s="11" t="s">
        <v>133</v>
      </c>
      <c r="I25" s="11" t="s">
        <v>234</v>
      </c>
      <c r="K25" s="11" t="s">
        <v>218</v>
      </c>
      <c r="L25" s="10" t="s">
        <v>98</v>
      </c>
      <c r="M25" s="10" t="s">
        <v>103</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104</v>
      </c>
      <c r="AE25" s="10" t="s">
        <v>134</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135</v>
      </c>
    </row>
    <row r="26" spans="1:42" ht="30" x14ac:dyDescent="0.25">
      <c r="A26" s="59">
        <v>44813</v>
      </c>
      <c r="C26" s="10">
        <v>8300917</v>
      </c>
      <c r="D26" s="10" t="s">
        <v>93</v>
      </c>
      <c r="E26" s="11">
        <v>9</v>
      </c>
      <c r="F26" s="39">
        <v>563869.17090000003</v>
      </c>
      <c r="G26" s="39">
        <v>6109781.034</v>
      </c>
      <c r="H26" s="11" t="s">
        <v>133</v>
      </c>
      <c r="I26" s="11" t="s">
        <v>234</v>
      </c>
      <c r="K26" s="11" t="s">
        <v>216</v>
      </c>
      <c r="L26" s="10" t="s">
        <v>98</v>
      </c>
      <c r="M26" s="10" t="s">
        <v>103</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104</v>
      </c>
      <c r="AE26" s="10" t="s">
        <v>134</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136</v>
      </c>
    </row>
    <row r="27" spans="1:42" ht="30" x14ac:dyDescent="0.25">
      <c r="A27" s="59">
        <v>44813</v>
      </c>
      <c r="C27" s="10">
        <v>8300188</v>
      </c>
      <c r="D27" s="10" t="s">
        <v>93</v>
      </c>
      <c r="E27" s="11">
        <v>9</v>
      </c>
      <c r="F27" s="39">
        <v>558317.00749999995</v>
      </c>
      <c r="G27" s="39">
        <v>6127315.8250000002</v>
      </c>
      <c r="H27" s="11" t="s">
        <v>133</v>
      </c>
      <c r="I27" s="11" t="s">
        <v>137</v>
      </c>
      <c r="K27" s="11" t="s">
        <v>222</v>
      </c>
      <c r="L27" s="10" t="s">
        <v>98</v>
      </c>
      <c r="M27" s="10" t="s">
        <v>103</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104</v>
      </c>
      <c r="AE27" s="10" t="s">
        <v>108</v>
      </c>
      <c r="AF27" s="20">
        <f t="shared" si="8"/>
        <v>1.5</v>
      </c>
      <c r="AG27" s="13">
        <f t="shared" si="1"/>
        <v>0</v>
      </c>
      <c r="AH27" s="7">
        <f t="shared" si="2"/>
        <v>5</v>
      </c>
      <c r="AI27" s="7">
        <f t="shared" si="3"/>
        <v>0</v>
      </c>
      <c r="AJ27" s="7">
        <f t="shared" si="4"/>
        <v>5</v>
      </c>
      <c r="AK27" s="7">
        <f t="shared" si="5"/>
        <v>6</v>
      </c>
      <c r="AL27" s="12">
        <f t="shared" si="9"/>
        <v>16</v>
      </c>
      <c r="AM27" s="14" t="str">
        <f t="shared" si="7"/>
        <v>Potential</v>
      </c>
      <c r="AN27" s="10" t="s">
        <v>238</v>
      </c>
      <c r="AO27" s="21">
        <v>3</v>
      </c>
      <c r="AP27" s="10" t="s">
        <v>138</v>
      </c>
    </row>
    <row r="28" spans="1:42" ht="30" x14ac:dyDescent="0.25">
      <c r="A28" s="59">
        <v>44813</v>
      </c>
      <c r="C28" s="10">
        <v>2022090901</v>
      </c>
      <c r="D28" s="10" t="s">
        <v>93</v>
      </c>
      <c r="E28" s="11">
        <v>9</v>
      </c>
      <c r="F28" s="39">
        <v>549761.10600000003</v>
      </c>
      <c r="G28" s="39">
        <v>6140313.0930000003</v>
      </c>
      <c r="H28" s="11" t="s">
        <v>133</v>
      </c>
      <c r="I28" s="11" t="s">
        <v>139</v>
      </c>
      <c r="K28" s="11" t="s">
        <v>216</v>
      </c>
      <c r="L28" s="10" t="s">
        <v>98</v>
      </c>
      <c r="M28" s="10" t="s">
        <v>103</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104</v>
      </c>
      <c r="AE28" s="10" t="s">
        <v>105</v>
      </c>
      <c r="AF28" s="20">
        <f t="shared" si="8"/>
        <v>2.125</v>
      </c>
      <c r="AG28" s="13">
        <f t="shared" si="1"/>
        <v>0</v>
      </c>
      <c r="AH28" s="7">
        <f t="shared" si="2"/>
        <v>10</v>
      </c>
      <c r="AI28" s="7">
        <f t="shared" si="3"/>
        <v>0</v>
      </c>
      <c r="AJ28" s="7">
        <f t="shared" si="4"/>
        <v>0</v>
      </c>
      <c r="AK28" s="7">
        <f t="shared" si="5"/>
        <v>6</v>
      </c>
      <c r="AL28" s="12">
        <f t="shared" si="9"/>
        <v>16</v>
      </c>
      <c r="AM28" s="14" t="str">
        <f t="shared" si="7"/>
        <v>Potential</v>
      </c>
      <c r="AN28" s="10" t="s">
        <v>238</v>
      </c>
      <c r="AO28" s="21">
        <v>3</v>
      </c>
      <c r="AP28" s="10" t="s">
        <v>140</v>
      </c>
    </row>
    <row r="29" spans="1:42" ht="30" x14ac:dyDescent="0.25">
      <c r="A29" s="59">
        <v>44809</v>
      </c>
      <c r="C29" s="10">
        <v>8302421</v>
      </c>
      <c r="D29" s="10" t="s">
        <v>142</v>
      </c>
      <c r="E29" s="11">
        <v>9</v>
      </c>
      <c r="F29" s="39">
        <v>567222.22530000005</v>
      </c>
      <c r="G29" s="39">
        <v>6154119.9369999999</v>
      </c>
      <c r="H29" s="11" t="s">
        <v>100</v>
      </c>
      <c r="I29" s="11" t="s">
        <v>141</v>
      </c>
      <c r="K29" s="11" t="s">
        <v>217</v>
      </c>
      <c r="L29" s="10" t="s">
        <v>98</v>
      </c>
      <c r="M29" s="10" t="s">
        <v>103</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104</v>
      </c>
      <c r="AE29" s="10" t="s">
        <v>108</v>
      </c>
      <c r="AF29" s="20">
        <f t="shared" si="8"/>
        <v>15</v>
      </c>
      <c r="AG29" s="13">
        <f t="shared" si="1"/>
        <v>0</v>
      </c>
      <c r="AH29" s="7">
        <f t="shared" si="2"/>
        <v>10</v>
      </c>
      <c r="AI29" s="7">
        <f t="shared" si="3"/>
        <v>0</v>
      </c>
      <c r="AJ29" s="7">
        <f t="shared" si="4"/>
        <v>0</v>
      </c>
      <c r="AK29" s="7">
        <f t="shared" si="5"/>
        <v>6</v>
      </c>
      <c r="AL29" s="12">
        <f t="shared" si="9"/>
        <v>16</v>
      </c>
      <c r="AM29" s="14" t="str">
        <f t="shared" si="7"/>
        <v>Potential</v>
      </c>
      <c r="AN29" s="10" t="s">
        <v>239</v>
      </c>
      <c r="AO29" s="21">
        <v>20</v>
      </c>
      <c r="AP29" s="10" t="s">
        <v>143</v>
      </c>
    </row>
    <row r="30" spans="1:42" ht="30" x14ac:dyDescent="0.25">
      <c r="A30" s="59">
        <v>44809</v>
      </c>
      <c r="C30" s="10">
        <v>8302065</v>
      </c>
      <c r="D30" s="10" t="s">
        <v>142</v>
      </c>
      <c r="E30" s="11">
        <v>9</v>
      </c>
      <c r="F30" s="39">
        <v>566030.28949999996</v>
      </c>
      <c r="G30" s="39">
        <v>6153076.9699999997</v>
      </c>
      <c r="H30" s="11" t="s">
        <v>144</v>
      </c>
      <c r="I30" s="11" t="s">
        <v>231</v>
      </c>
      <c r="K30" s="11" t="s">
        <v>217</v>
      </c>
      <c r="L30" s="10" t="s">
        <v>98</v>
      </c>
      <c r="M30" s="10" t="s">
        <v>103</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145</v>
      </c>
      <c r="AE30" s="10" t="s">
        <v>108</v>
      </c>
      <c r="AF30" s="20">
        <f t="shared" si="8"/>
        <v>2.75</v>
      </c>
      <c r="AG30" s="13">
        <f t="shared" si="1"/>
        <v>0</v>
      </c>
      <c r="AH30" s="7">
        <f t="shared" si="2"/>
        <v>10</v>
      </c>
      <c r="AI30" s="7">
        <f t="shared" si="3"/>
        <v>0</v>
      </c>
      <c r="AJ30" s="7">
        <f t="shared" si="4"/>
        <v>10</v>
      </c>
      <c r="AK30" s="7">
        <f t="shared" si="5"/>
        <v>6</v>
      </c>
      <c r="AL30" s="12">
        <f t="shared" si="9"/>
        <v>26</v>
      </c>
      <c r="AM30" s="14" t="str">
        <f t="shared" si="7"/>
        <v>Barrier</v>
      </c>
      <c r="AN30" s="10" t="s">
        <v>239</v>
      </c>
      <c r="AO30" s="21">
        <v>10</v>
      </c>
      <c r="AP30" s="10" t="s">
        <v>146</v>
      </c>
    </row>
    <row r="31" spans="1:42" ht="30" x14ac:dyDescent="0.25">
      <c r="A31" s="59">
        <v>44809</v>
      </c>
      <c r="C31" s="10">
        <v>8300118</v>
      </c>
      <c r="D31" s="10" t="s">
        <v>142</v>
      </c>
      <c r="E31" s="11">
        <v>9</v>
      </c>
      <c r="F31" s="39">
        <v>572865.03040000005</v>
      </c>
      <c r="G31" s="39">
        <v>6149158.4119999995</v>
      </c>
      <c r="H31" s="11" t="s">
        <v>147</v>
      </c>
      <c r="I31" s="11" t="s">
        <v>231</v>
      </c>
      <c r="J31" s="22">
        <v>3.9</v>
      </c>
      <c r="K31" s="11" t="s">
        <v>218</v>
      </c>
      <c r="L31" s="10" t="s">
        <v>98</v>
      </c>
      <c r="M31" s="10" t="s">
        <v>103</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104</v>
      </c>
      <c r="AE31" s="10" t="s">
        <v>108</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N31" s="10" t="s">
        <v>239</v>
      </c>
      <c r="AO31" s="21">
        <v>10</v>
      </c>
      <c r="AP31" s="10" t="s">
        <v>148</v>
      </c>
    </row>
    <row r="32" spans="1:42" ht="30" x14ac:dyDescent="0.25">
      <c r="A32" s="59">
        <v>44809</v>
      </c>
      <c r="C32" s="10">
        <v>2022090501</v>
      </c>
      <c r="D32" s="10" t="s">
        <v>142</v>
      </c>
      <c r="E32" s="11">
        <v>9</v>
      </c>
      <c r="F32" s="39">
        <v>573065.74219999998</v>
      </c>
      <c r="G32" s="39">
        <v>6152232.0839999998</v>
      </c>
      <c r="H32" s="11" t="s">
        <v>144</v>
      </c>
      <c r="I32" s="11" t="s">
        <v>149</v>
      </c>
      <c r="K32" s="11" t="s">
        <v>218</v>
      </c>
      <c r="L32" s="10" t="s">
        <v>98</v>
      </c>
      <c r="M32" s="10" t="s">
        <v>103</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104</v>
      </c>
      <c r="AE32" s="10" t="s">
        <v>134</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N32" s="10" t="s">
        <v>239</v>
      </c>
      <c r="AO32" s="21">
        <v>10</v>
      </c>
      <c r="AP32" s="10" t="s">
        <v>150</v>
      </c>
    </row>
    <row r="33" spans="1:42" ht="30" x14ac:dyDescent="0.25">
      <c r="A33" s="59">
        <v>44810</v>
      </c>
      <c r="C33" s="10">
        <v>8300030</v>
      </c>
      <c r="D33" s="10" t="s">
        <v>142</v>
      </c>
      <c r="E33" s="11">
        <v>9</v>
      </c>
      <c r="F33" s="39">
        <v>545529.3469</v>
      </c>
      <c r="G33" s="39">
        <v>6170758.7470000004</v>
      </c>
      <c r="H33" s="11" t="s">
        <v>151</v>
      </c>
      <c r="I33" s="11" t="s">
        <v>232</v>
      </c>
      <c r="K33" s="11" t="s">
        <v>218</v>
      </c>
      <c r="L33" s="10" t="s">
        <v>98</v>
      </c>
      <c r="M33" s="10" t="s">
        <v>103</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104</v>
      </c>
      <c r="AE33" s="10" t="s">
        <v>108</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N33" s="10" t="s">
        <v>238</v>
      </c>
      <c r="AO33" s="21">
        <v>3</v>
      </c>
      <c r="AP33" s="10" t="s">
        <v>152</v>
      </c>
    </row>
    <row r="34" spans="1:42" ht="30" x14ac:dyDescent="0.25">
      <c r="A34" s="59">
        <v>44810</v>
      </c>
      <c r="C34" s="10">
        <v>8300111</v>
      </c>
      <c r="D34" s="10" t="s">
        <v>142</v>
      </c>
      <c r="E34" s="11">
        <v>9</v>
      </c>
      <c r="F34" s="39">
        <v>553817.49109999998</v>
      </c>
      <c r="G34" s="39">
        <v>6166233.2699999996</v>
      </c>
      <c r="H34" s="11" t="s">
        <v>144</v>
      </c>
      <c r="I34" s="11" t="s">
        <v>232</v>
      </c>
      <c r="K34" s="11" t="s">
        <v>218</v>
      </c>
      <c r="L34" s="10" t="s">
        <v>98</v>
      </c>
      <c r="M34" s="10" t="s">
        <v>103</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104</v>
      </c>
      <c r="AE34" s="10" t="s">
        <v>108</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N34" s="10" t="s">
        <v>238</v>
      </c>
      <c r="AO34" s="21">
        <v>3</v>
      </c>
      <c r="AP34" s="10" t="s">
        <v>153</v>
      </c>
    </row>
    <row r="35" spans="1:42" ht="30" x14ac:dyDescent="0.25">
      <c r="A35" s="59">
        <v>44810</v>
      </c>
      <c r="C35" s="10">
        <v>8302403</v>
      </c>
      <c r="D35" s="10" t="s">
        <v>142</v>
      </c>
      <c r="E35" s="11">
        <v>9</v>
      </c>
      <c r="F35" s="39">
        <v>542451.61450000003</v>
      </c>
      <c r="G35" s="39">
        <v>6168061.9859999996</v>
      </c>
      <c r="H35" s="11" t="s">
        <v>144</v>
      </c>
      <c r="I35" s="11" t="s">
        <v>235</v>
      </c>
      <c r="J35" s="22">
        <v>21</v>
      </c>
      <c r="K35" s="11" t="s">
        <v>223</v>
      </c>
      <c r="L35" s="10" t="s">
        <v>98</v>
      </c>
      <c r="M35" s="10" t="s">
        <v>103</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104</v>
      </c>
      <c r="AE35" s="10" t="s">
        <v>108</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N35" s="10" t="s">
        <v>239</v>
      </c>
      <c r="AO35" s="21">
        <v>10</v>
      </c>
      <c r="AP35" s="10" t="s">
        <v>154</v>
      </c>
    </row>
    <row r="36" spans="1:42" ht="30" x14ac:dyDescent="0.25">
      <c r="A36" s="59">
        <v>44810</v>
      </c>
      <c r="C36" s="10">
        <v>8302407</v>
      </c>
      <c r="D36" s="10" t="s">
        <v>142</v>
      </c>
      <c r="E36" s="11">
        <v>9</v>
      </c>
      <c r="F36" s="39">
        <v>548521.64040000003</v>
      </c>
      <c r="G36" s="39">
        <v>6165904.773</v>
      </c>
      <c r="H36" s="11" t="s">
        <v>144</v>
      </c>
      <c r="I36" s="11" t="s">
        <v>235</v>
      </c>
      <c r="J36" s="22">
        <v>14</v>
      </c>
      <c r="K36" s="11" t="s">
        <v>223</v>
      </c>
      <c r="L36" s="10" t="s">
        <v>95</v>
      </c>
      <c r="M36" s="10" t="s">
        <v>155</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156</v>
      </c>
    </row>
    <row r="37" spans="1:42" x14ac:dyDescent="0.25">
      <c r="A37" s="59">
        <v>44811</v>
      </c>
      <c r="C37" s="10">
        <v>8301754</v>
      </c>
      <c r="D37" s="10" t="s">
        <v>142</v>
      </c>
      <c r="E37" s="11">
        <v>9</v>
      </c>
      <c r="F37" s="39">
        <v>564129.63919999998</v>
      </c>
      <c r="G37" s="39">
        <v>6166824.1220000004</v>
      </c>
      <c r="H37" s="11" t="s">
        <v>157</v>
      </c>
      <c r="I37" s="11" t="s">
        <v>124</v>
      </c>
      <c r="K37" s="11" t="s">
        <v>221</v>
      </c>
      <c r="L37" s="10" t="s">
        <v>98</v>
      </c>
      <c r="M37" s="10" t="s">
        <v>103</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158</v>
      </c>
      <c r="AE37" s="10" t="s">
        <v>134</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159</v>
      </c>
    </row>
    <row r="38" spans="1:42" ht="30" x14ac:dyDescent="0.25">
      <c r="A38" s="59">
        <v>44811</v>
      </c>
      <c r="C38" s="10">
        <v>8301749</v>
      </c>
      <c r="D38" s="10" t="s">
        <v>200</v>
      </c>
      <c r="E38" s="11">
        <v>9</v>
      </c>
      <c r="F38" s="39">
        <v>564726.29700000002</v>
      </c>
      <c r="G38" s="39">
        <v>6164300.5060000001</v>
      </c>
      <c r="H38" s="11" t="s">
        <v>125</v>
      </c>
      <c r="I38" s="11" t="s">
        <v>124</v>
      </c>
      <c r="K38" s="11" t="s">
        <v>221</v>
      </c>
      <c r="L38" s="10" t="s">
        <v>98</v>
      </c>
      <c r="M38" s="10" t="s">
        <v>103</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104</v>
      </c>
      <c r="AE38" s="10" t="s">
        <v>108</v>
      </c>
      <c r="AF38" s="20">
        <f t="shared" si="8"/>
        <v>2</v>
      </c>
      <c r="AG38" s="13">
        <f t="shared" si="1"/>
        <v>0</v>
      </c>
      <c r="AH38" s="7">
        <f t="shared" si="2"/>
        <v>10</v>
      </c>
      <c r="AI38" s="7">
        <f t="shared" si="3"/>
        <v>0</v>
      </c>
      <c r="AJ38" s="7">
        <f t="shared" si="4"/>
        <v>5</v>
      </c>
      <c r="AK38" s="7">
        <f t="shared" si="5"/>
        <v>6</v>
      </c>
      <c r="AL38" s="12">
        <f t="shared" si="9"/>
        <v>21</v>
      </c>
      <c r="AM38" s="14" t="str">
        <f t="shared" si="7"/>
        <v>Barrier</v>
      </c>
      <c r="AN38" s="10" t="s">
        <v>238</v>
      </c>
      <c r="AO38" s="21">
        <v>3</v>
      </c>
      <c r="AP38" s="10" t="s">
        <v>160</v>
      </c>
    </row>
    <row r="39" spans="1:42" ht="30" x14ac:dyDescent="0.25">
      <c r="A39" s="59">
        <v>44811</v>
      </c>
      <c r="C39" s="10">
        <v>8301748</v>
      </c>
      <c r="D39" s="10" t="s">
        <v>142</v>
      </c>
      <c r="E39" s="11">
        <v>9</v>
      </c>
      <c r="F39" s="39">
        <v>565280.84360000002</v>
      </c>
      <c r="G39" s="39">
        <v>6163975.7209999999</v>
      </c>
      <c r="H39" s="11" t="s">
        <v>125</v>
      </c>
      <c r="I39" s="11" t="s">
        <v>124</v>
      </c>
      <c r="K39" s="11" t="s">
        <v>221</v>
      </c>
      <c r="L39" s="10" t="s">
        <v>98</v>
      </c>
      <c r="M39" s="10" t="s">
        <v>103</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104</v>
      </c>
      <c r="AE39" s="10" t="s">
        <v>108</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N39" s="10" t="s">
        <v>238</v>
      </c>
      <c r="AO39" s="21">
        <v>3</v>
      </c>
      <c r="AP39" s="10" t="s">
        <v>161</v>
      </c>
    </row>
    <row r="40" spans="1:42" ht="30" x14ac:dyDescent="0.25">
      <c r="A40" s="59">
        <v>44813</v>
      </c>
      <c r="C40" s="10">
        <v>8300042</v>
      </c>
      <c r="D40" s="10" t="s">
        <v>200</v>
      </c>
      <c r="E40" s="11">
        <v>9</v>
      </c>
      <c r="F40" s="39">
        <v>582153.73289999994</v>
      </c>
      <c r="G40" s="39">
        <v>6135026.2599999998</v>
      </c>
      <c r="H40" s="11" t="s">
        <v>144</v>
      </c>
      <c r="I40" s="11" t="s">
        <v>233</v>
      </c>
      <c r="K40" s="11" t="s">
        <v>218</v>
      </c>
      <c r="L40" s="10" t="s">
        <v>98</v>
      </c>
      <c r="M40" s="10" t="s">
        <v>103</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104</v>
      </c>
      <c r="AE40" s="10" t="s">
        <v>134</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N40" s="10" t="s">
        <v>239</v>
      </c>
      <c r="AO40" s="21">
        <v>17.5</v>
      </c>
      <c r="AP40" s="10" t="s">
        <v>162</v>
      </c>
    </row>
    <row r="41" spans="1:42" ht="30" x14ac:dyDescent="0.25">
      <c r="A41" s="59">
        <v>44813</v>
      </c>
      <c r="C41" s="10">
        <v>8300054</v>
      </c>
      <c r="D41" s="10" t="s">
        <v>142</v>
      </c>
      <c r="E41" s="11">
        <v>9</v>
      </c>
      <c r="F41" s="39">
        <v>583025.51610000001</v>
      </c>
      <c r="G41" s="39">
        <v>6130401.8499999996</v>
      </c>
      <c r="H41" s="11" t="s">
        <v>163</v>
      </c>
      <c r="I41" s="11" t="s">
        <v>232</v>
      </c>
      <c r="K41" s="11" t="s">
        <v>224</v>
      </c>
      <c r="L41" s="10" t="s">
        <v>98</v>
      </c>
      <c r="M41" s="10" t="s">
        <v>103</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104</v>
      </c>
      <c r="AE41" s="10" t="s">
        <v>134</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164</v>
      </c>
    </row>
    <row r="42" spans="1:42" ht="30" x14ac:dyDescent="0.25">
      <c r="A42" s="59">
        <v>44813</v>
      </c>
      <c r="C42" s="10">
        <v>8301485</v>
      </c>
      <c r="D42" s="10" t="s">
        <v>142</v>
      </c>
      <c r="E42" s="11">
        <v>9</v>
      </c>
      <c r="F42" s="39">
        <v>582851.3419</v>
      </c>
      <c r="G42" s="39">
        <v>6130490.6440000003</v>
      </c>
      <c r="H42" s="11" t="s">
        <v>163</v>
      </c>
      <c r="I42" s="11" t="s">
        <v>236</v>
      </c>
      <c r="K42" s="11" t="s">
        <v>225</v>
      </c>
      <c r="L42" s="10" t="s">
        <v>98</v>
      </c>
      <c r="M42" s="10" t="s">
        <v>103</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104</v>
      </c>
      <c r="AE42" s="10" t="s">
        <v>134</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N42" s="10" t="s">
        <v>239</v>
      </c>
      <c r="AO42" s="21">
        <v>10</v>
      </c>
      <c r="AP42" s="10" t="s">
        <v>165</v>
      </c>
    </row>
    <row r="43" spans="1:42" ht="30" x14ac:dyDescent="0.25">
      <c r="A43" s="59">
        <v>44811</v>
      </c>
      <c r="C43" s="10">
        <v>2787053</v>
      </c>
      <c r="D43" s="10" t="s">
        <v>200</v>
      </c>
      <c r="E43" s="11">
        <v>9</v>
      </c>
      <c r="F43" s="39">
        <v>571274.1531</v>
      </c>
      <c r="G43" s="39">
        <v>6156519.1540000001</v>
      </c>
      <c r="H43" s="11" t="s">
        <v>100</v>
      </c>
      <c r="I43" s="11" t="s">
        <v>232</v>
      </c>
      <c r="K43" s="11" t="s">
        <v>218</v>
      </c>
      <c r="L43" s="10" t="s">
        <v>98</v>
      </c>
      <c r="M43" s="10" t="s">
        <v>103</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104</v>
      </c>
      <c r="AE43" s="10" t="s">
        <v>105</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N43" s="10" t="s">
        <v>239</v>
      </c>
      <c r="AO43" s="21">
        <v>10</v>
      </c>
      <c r="AP43" s="10" t="s">
        <v>166</v>
      </c>
    </row>
    <row r="44" spans="1:42" ht="30" x14ac:dyDescent="0.25">
      <c r="A44" s="59">
        <v>44813</v>
      </c>
      <c r="C44" s="10">
        <v>8300033</v>
      </c>
      <c r="D44" s="10" t="s">
        <v>142</v>
      </c>
      <c r="E44" s="11">
        <v>9</v>
      </c>
      <c r="F44" s="39">
        <v>579936.82109999994</v>
      </c>
      <c r="G44" s="39">
        <v>6144036.6239999998</v>
      </c>
      <c r="H44" s="11" t="s">
        <v>100</v>
      </c>
      <c r="I44" s="11" t="s">
        <v>237</v>
      </c>
      <c r="K44" s="11" t="s">
        <v>218</v>
      </c>
      <c r="L44" s="10" t="s">
        <v>98</v>
      </c>
      <c r="M44" s="10" t="s">
        <v>103</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104</v>
      </c>
      <c r="AE44" s="10" t="s">
        <v>105</v>
      </c>
      <c r="AF44" s="20">
        <f t="shared" si="8"/>
        <v>3.125</v>
      </c>
      <c r="AG44" s="13">
        <f t="shared" si="1"/>
        <v>0</v>
      </c>
      <c r="AH44" s="7">
        <f t="shared" si="2"/>
        <v>10</v>
      </c>
      <c r="AI44" s="7">
        <f t="shared" si="3"/>
        <v>0</v>
      </c>
      <c r="AJ44" s="7">
        <f t="shared" si="4"/>
        <v>0</v>
      </c>
      <c r="AK44" s="7">
        <f t="shared" si="5"/>
        <v>6</v>
      </c>
      <c r="AL44" s="12">
        <f t="shared" si="9"/>
        <v>16</v>
      </c>
      <c r="AM44" s="14" t="str">
        <f t="shared" si="7"/>
        <v>Potential</v>
      </c>
      <c r="AN44" s="10" t="s">
        <v>239</v>
      </c>
      <c r="AO44" s="21">
        <v>10</v>
      </c>
      <c r="AP44" s="10" t="s">
        <v>167</v>
      </c>
    </row>
    <row r="45" spans="1:42" ht="30" x14ac:dyDescent="0.25">
      <c r="A45" s="59">
        <v>44814</v>
      </c>
      <c r="C45" s="10">
        <v>8300095</v>
      </c>
      <c r="D45" s="10" t="s">
        <v>142</v>
      </c>
      <c r="E45" s="11">
        <v>9</v>
      </c>
      <c r="F45" s="39">
        <v>563431</v>
      </c>
      <c r="G45" s="39">
        <v>6109637</v>
      </c>
      <c r="H45" s="11" t="s">
        <v>133</v>
      </c>
      <c r="I45" s="11" t="s">
        <v>137</v>
      </c>
      <c r="K45" s="11" t="s">
        <v>222</v>
      </c>
      <c r="L45" s="10" t="s">
        <v>98</v>
      </c>
      <c r="M45" s="10" t="s">
        <v>103</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104</v>
      </c>
      <c r="AE45" s="10" t="s">
        <v>134</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N45" s="10" t="s">
        <v>239</v>
      </c>
      <c r="AO45" s="21">
        <v>30.5</v>
      </c>
      <c r="AP45" s="10" t="s">
        <v>168</v>
      </c>
    </row>
    <row r="46" spans="1:42" ht="30" x14ac:dyDescent="0.25">
      <c r="A46" s="59">
        <v>44814</v>
      </c>
      <c r="C46" s="10">
        <v>8300178</v>
      </c>
      <c r="D46" s="10" t="s">
        <v>142</v>
      </c>
      <c r="E46" s="11">
        <v>9</v>
      </c>
      <c r="F46" s="39">
        <v>558773.20570000005</v>
      </c>
      <c r="G46" s="39">
        <v>6126523.3099999996</v>
      </c>
      <c r="H46" s="11" t="s">
        <v>133</v>
      </c>
      <c r="I46" s="11" t="s">
        <v>169</v>
      </c>
      <c r="K46" s="11" t="s">
        <v>218</v>
      </c>
      <c r="L46" s="10" t="s">
        <v>98</v>
      </c>
      <c r="M46" s="10" t="s">
        <v>103</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104</v>
      </c>
      <c r="AE46" s="10" t="s">
        <v>105</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N46" s="10" t="s">
        <v>239</v>
      </c>
      <c r="AO46" s="21">
        <v>10</v>
      </c>
      <c r="AP46" s="10" t="s">
        <v>170</v>
      </c>
    </row>
    <row r="47" spans="1:42" x14ac:dyDescent="0.25">
      <c r="A47" s="59">
        <v>44812</v>
      </c>
      <c r="C47" s="10">
        <v>8302257</v>
      </c>
      <c r="D47" s="10" t="s">
        <v>142</v>
      </c>
      <c r="E47" s="11">
        <v>9</v>
      </c>
      <c r="F47" s="39">
        <v>587054.01138077199</v>
      </c>
      <c r="G47" s="39">
        <v>6138715.9746004604</v>
      </c>
      <c r="H47" s="11" t="s">
        <v>180</v>
      </c>
      <c r="I47" s="11" t="s">
        <v>173</v>
      </c>
      <c r="K47" s="11" t="s">
        <v>226</v>
      </c>
      <c r="L47" s="10" t="s">
        <v>98</v>
      </c>
      <c r="M47" s="10" t="s">
        <v>103</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104</v>
      </c>
      <c r="AE47" s="10" t="s">
        <v>134</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N47" s="10" t="s">
        <v>239</v>
      </c>
      <c r="AO47" s="21">
        <v>13</v>
      </c>
      <c r="AP47" s="10" t="s">
        <v>181</v>
      </c>
    </row>
    <row r="48" spans="1:42" x14ac:dyDescent="0.25">
      <c r="A48" s="59">
        <v>44812</v>
      </c>
      <c r="C48" s="10">
        <v>8300238</v>
      </c>
      <c r="D48" s="10" t="s">
        <v>142</v>
      </c>
      <c r="E48" s="11">
        <v>9</v>
      </c>
      <c r="F48" s="39">
        <v>587207.36312942405</v>
      </c>
      <c r="G48" s="39">
        <v>6138659.0618856801</v>
      </c>
      <c r="H48" s="11" t="s">
        <v>180</v>
      </c>
      <c r="I48" s="11" t="s">
        <v>179</v>
      </c>
      <c r="K48" s="11" t="s">
        <v>225</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182</v>
      </c>
    </row>
    <row r="49" spans="1:42" ht="30" x14ac:dyDescent="0.25">
      <c r="A49" s="59">
        <v>44817</v>
      </c>
      <c r="C49" s="10">
        <v>4601067</v>
      </c>
      <c r="D49" s="10" t="s">
        <v>205</v>
      </c>
      <c r="E49" s="11">
        <v>9</v>
      </c>
      <c r="F49" s="39">
        <v>594902</v>
      </c>
      <c r="G49" s="39">
        <v>6075406</v>
      </c>
      <c r="H49" s="11" t="s">
        <v>213</v>
      </c>
      <c r="I49" s="11" t="s">
        <v>312</v>
      </c>
      <c r="J49" s="22">
        <v>2.5</v>
      </c>
      <c r="K49" s="11" t="s">
        <v>227</v>
      </c>
      <c r="L49" s="10" t="s">
        <v>98</v>
      </c>
      <c r="M49" s="10" t="s">
        <v>103</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158</v>
      </c>
      <c r="AE49" s="10" t="s">
        <v>105</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10" t="s">
        <v>238</v>
      </c>
      <c r="AO49" s="21">
        <v>3</v>
      </c>
      <c r="AP49" s="89" t="s">
        <v>208</v>
      </c>
    </row>
    <row r="50" spans="1:42" x14ac:dyDescent="0.25">
      <c r="A50" s="59">
        <v>44827</v>
      </c>
      <c r="C50" s="10">
        <v>8300128</v>
      </c>
      <c r="D50" s="10" t="s">
        <v>172</v>
      </c>
      <c r="E50" s="11">
        <v>9</v>
      </c>
      <c r="F50" s="39">
        <v>584898.73659999995</v>
      </c>
      <c r="G50" s="39">
        <v>6152502.318</v>
      </c>
      <c r="H50" s="11" t="s">
        <v>171</v>
      </c>
      <c r="I50" s="11" t="s">
        <v>173</v>
      </c>
      <c r="J50" s="22">
        <v>30</v>
      </c>
      <c r="K50" s="11" t="s">
        <v>226</v>
      </c>
      <c r="L50" s="10" t="s">
        <v>98</v>
      </c>
      <c r="M50" s="10" t="s">
        <v>103</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104</v>
      </c>
      <c r="AE50" s="10" t="s">
        <v>108</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10" t="s">
        <v>239</v>
      </c>
      <c r="AO50" s="21">
        <v>13</v>
      </c>
      <c r="AP50" s="10" t="s">
        <v>174</v>
      </c>
    </row>
    <row r="51" spans="1:42" x14ac:dyDescent="0.25">
      <c r="A51" s="59">
        <v>44830</v>
      </c>
      <c r="C51" s="10">
        <v>4709789</v>
      </c>
      <c r="D51" s="10" t="s">
        <v>172</v>
      </c>
      <c r="E51" s="11">
        <v>9</v>
      </c>
      <c r="F51" s="39">
        <v>581806.03940000001</v>
      </c>
      <c r="G51" s="39">
        <v>6156404.443</v>
      </c>
      <c r="H51" s="11" t="s">
        <v>175</v>
      </c>
      <c r="I51" s="11" t="s">
        <v>173</v>
      </c>
      <c r="J51" s="22">
        <v>36</v>
      </c>
      <c r="K51" s="11" t="s">
        <v>226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177</v>
      </c>
    </row>
    <row r="52" spans="1:42" ht="30" x14ac:dyDescent="0.25">
      <c r="A52" s="59">
        <v>44830</v>
      </c>
      <c r="C52" s="10">
        <v>24709790</v>
      </c>
      <c r="D52" s="10" t="s">
        <v>172</v>
      </c>
      <c r="E52" s="11">
        <v>9</v>
      </c>
      <c r="F52" s="39">
        <v>583782.12860000005</v>
      </c>
      <c r="G52" s="39">
        <v>6153478.7290000003</v>
      </c>
      <c r="H52" s="11" t="s">
        <v>176</v>
      </c>
      <c r="I52" s="11" t="s">
        <v>173</v>
      </c>
      <c r="J52" s="22">
        <v>34</v>
      </c>
      <c r="K52" s="11" t="s">
        <v>226</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t="s">
        <v>207</v>
      </c>
    </row>
    <row r="53" spans="1:42" ht="30" x14ac:dyDescent="0.25">
      <c r="A53" s="59">
        <v>44830</v>
      </c>
      <c r="C53" s="10">
        <v>8302244</v>
      </c>
      <c r="D53" s="10" t="s">
        <v>172</v>
      </c>
      <c r="E53" s="11">
        <v>9</v>
      </c>
      <c r="F53" s="39">
        <v>583847.89619999996</v>
      </c>
      <c r="G53" s="39">
        <v>6153431.7350000003</v>
      </c>
      <c r="H53" s="11" t="s">
        <v>176</v>
      </c>
      <c r="I53" s="11" t="s">
        <v>173</v>
      </c>
      <c r="J53" s="22">
        <v>34</v>
      </c>
      <c r="K53" s="11" t="s">
        <v>226</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178</v>
      </c>
    </row>
    <row r="54" spans="1:42" ht="30" x14ac:dyDescent="0.25">
      <c r="A54" s="59">
        <v>44809</v>
      </c>
      <c r="C54" s="10">
        <v>8300390</v>
      </c>
      <c r="D54" s="10" t="s">
        <v>142</v>
      </c>
      <c r="E54" s="11">
        <v>9</v>
      </c>
      <c r="F54" s="39">
        <v>570745.12124158803</v>
      </c>
      <c r="G54" s="39">
        <v>6149438.0131760295</v>
      </c>
      <c r="H54" s="11" t="s">
        <v>183</v>
      </c>
      <c r="I54" s="11" t="s">
        <v>179</v>
      </c>
      <c r="J54" s="22">
        <v>0.5</v>
      </c>
      <c r="K54" s="11" t="s">
        <v>216</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204</v>
      </c>
    </row>
    <row r="55" spans="1:42" ht="30" x14ac:dyDescent="0.25">
      <c r="A55" s="59">
        <v>44811</v>
      </c>
      <c r="C55" s="10">
        <v>8300108</v>
      </c>
      <c r="D55" s="10" t="s">
        <v>93</v>
      </c>
      <c r="E55" s="11">
        <v>9</v>
      </c>
      <c r="F55" s="39">
        <v>575356.84552120697</v>
      </c>
      <c r="G55" s="39">
        <v>6152461.8224209696</v>
      </c>
      <c r="H55" s="11" t="s">
        <v>184</v>
      </c>
      <c r="I55" s="11" t="s">
        <v>232</v>
      </c>
      <c r="K55" s="11" t="s">
        <v>218</v>
      </c>
      <c r="L55" s="10" t="s">
        <v>98</v>
      </c>
      <c r="M55" s="10" t="s">
        <v>103</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104</v>
      </c>
      <c r="AE55" s="10" t="s">
        <v>105</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10" t="s">
        <v>238</v>
      </c>
      <c r="AO55" s="21">
        <v>3</v>
      </c>
      <c r="AP55" s="10" t="s">
        <v>185</v>
      </c>
    </row>
    <row r="56" spans="1:42" ht="30" x14ac:dyDescent="0.25">
      <c r="A56" s="59">
        <v>44810</v>
      </c>
      <c r="C56" s="10">
        <v>8302755</v>
      </c>
      <c r="D56" s="10" t="s">
        <v>142</v>
      </c>
      <c r="E56" s="11">
        <v>9</v>
      </c>
      <c r="F56" s="39">
        <v>534422.15518482297</v>
      </c>
      <c r="G56" s="39">
        <v>6178964.8854749901</v>
      </c>
      <c r="H56" s="11" t="s">
        <v>186</v>
      </c>
      <c r="I56" s="11" t="s">
        <v>187</v>
      </c>
      <c r="K56" s="11" t="s">
        <v>228</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188</v>
      </c>
    </row>
    <row r="57" spans="1:42" ht="30" x14ac:dyDescent="0.25">
      <c r="A57" s="59">
        <v>44810</v>
      </c>
      <c r="C57" s="10">
        <v>8302410</v>
      </c>
      <c r="D57" s="10" t="s">
        <v>142</v>
      </c>
      <c r="E57" s="11">
        <v>9</v>
      </c>
      <c r="F57" s="39">
        <v>553739.97230588202</v>
      </c>
      <c r="G57" s="39">
        <v>6161966.3651549499</v>
      </c>
      <c r="H57" s="11" t="s">
        <v>144</v>
      </c>
      <c r="I57" s="11" t="s">
        <v>235</v>
      </c>
      <c r="K57" s="11" t="s">
        <v>223</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189</v>
      </c>
    </row>
    <row r="58" spans="1:42" x14ac:dyDescent="0.25">
      <c r="A58" s="59">
        <v>44811</v>
      </c>
      <c r="C58" s="10">
        <v>8302779</v>
      </c>
      <c r="D58" s="10" t="s">
        <v>93</v>
      </c>
      <c r="E58" s="11">
        <v>9</v>
      </c>
      <c r="F58" s="39">
        <v>564361.86308897997</v>
      </c>
      <c r="G58" s="39">
        <v>6167112.8439104296</v>
      </c>
      <c r="H58" s="11" t="s">
        <v>190</v>
      </c>
      <c r="I58" s="11" t="s">
        <v>191</v>
      </c>
      <c r="K58" s="11" t="s">
        <v>221</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195</v>
      </c>
    </row>
    <row r="59" spans="1:42" ht="30" x14ac:dyDescent="0.25">
      <c r="A59" s="59">
        <v>44811</v>
      </c>
      <c r="C59" s="10">
        <v>8301892</v>
      </c>
      <c r="D59" s="10" t="s">
        <v>93</v>
      </c>
      <c r="E59" s="11">
        <v>9</v>
      </c>
      <c r="F59" s="39">
        <v>569230.10432952899</v>
      </c>
      <c r="G59" s="39">
        <v>6166554.36250732</v>
      </c>
      <c r="H59" s="11" t="s">
        <v>192</v>
      </c>
      <c r="I59" s="11" t="s">
        <v>193</v>
      </c>
      <c r="K59" s="11" t="s">
        <v>221</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194</v>
      </c>
    </row>
    <row r="60" spans="1:42" ht="60" x14ac:dyDescent="0.25">
      <c r="A60" s="59">
        <v>44813</v>
      </c>
      <c r="C60" s="10">
        <v>8302212</v>
      </c>
      <c r="D60" s="10" t="s">
        <v>142</v>
      </c>
      <c r="E60" s="11">
        <v>9</v>
      </c>
      <c r="F60" s="39">
        <v>550746.79350392602</v>
      </c>
      <c r="G60" s="39">
        <v>6141256.4392585102</v>
      </c>
      <c r="H60" s="11" t="s">
        <v>196</v>
      </c>
      <c r="I60" s="11" t="s">
        <v>179</v>
      </c>
      <c r="K60" s="11" t="s">
        <v>229</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N60" s="86"/>
      <c r="AO60" s="88"/>
      <c r="AP60" s="10" t="s">
        <v>197</v>
      </c>
    </row>
    <row r="61" spans="1:42" ht="30" x14ac:dyDescent="0.25">
      <c r="A61" s="59">
        <v>44813</v>
      </c>
      <c r="C61" s="10">
        <v>8301994</v>
      </c>
      <c r="D61" s="10" t="s">
        <v>200</v>
      </c>
      <c r="E61" s="11">
        <v>9</v>
      </c>
      <c r="F61" s="39">
        <v>550299.97770000005</v>
      </c>
      <c r="G61" s="39">
        <v>6140708.1220000004</v>
      </c>
      <c r="H61" s="11" t="s">
        <v>133</v>
      </c>
      <c r="I61" s="11" t="s">
        <v>139</v>
      </c>
      <c r="K61" s="11" t="s">
        <v>230</v>
      </c>
      <c r="L61" s="10" t="s">
        <v>98</v>
      </c>
      <c r="M61" s="10" t="s">
        <v>103</v>
      </c>
      <c r="N61" s="21">
        <v>0.85</v>
      </c>
      <c r="O61" s="21">
        <v>10</v>
      </c>
      <c r="P61" s="10" t="s">
        <v>96</v>
      </c>
      <c r="Q61" s="88"/>
      <c r="R61" s="10" t="s">
        <v>96</v>
      </c>
      <c r="S61" s="10" t="s">
        <v>96</v>
      </c>
      <c r="T61" s="88"/>
      <c r="U61" s="21">
        <v>0.45</v>
      </c>
      <c r="V61" s="10">
        <v>0.24</v>
      </c>
      <c r="W61" s="21">
        <v>0.22</v>
      </c>
      <c r="X61" s="10" t="s">
        <v>96</v>
      </c>
      <c r="Y61" s="21">
        <v>3.5</v>
      </c>
      <c r="Z61" s="21">
        <v>2.2999999999999998</v>
      </c>
      <c r="AA61" s="10">
        <v>1</v>
      </c>
      <c r="AB61" s="10" t="s">
        <v>96</v>
      </c>
      <c r="AC61" s="10" t="s">
        <v>96</v>
      </c>
      <c r="AD61" s="10" t="s">
        <v>104</v>
      </c>
      <c r="AE61" s="10" t="s">
        <v>134</v>
      </c>
      <c r="AF61" s="20">
        <f t="shared" si="8"/>
        <v>2.7058823529411762</v>
      </c>
      <c r="AG61" s="13">
        <f t="shared" si="1"/>
        <v>0</v>
      </c>
      <c r="AH61" s="7">
        <f t="shared" si="2"/>
        <v>10</v>
      </c>
      <c r="AI61" s="7">
        <f t="shared" si="3"/>
        <v>5</v>
      </c>
      <c r="AJ61" s="7">
        <f t="shared" si="4"/>
        <v>10</v>
      </c>
      <c r="AK61" s="7">
        <f t="shared" si="5"/>
        <v>6</v>
      </c>
      <c r="AL61" s="12">
        <f t="shared" si="9"/>
        <v>31</v>
      </c>
      <c r="AM61" s="14" t="str">
        <f t="shared" si="7"/>
        <v>Barrier</v>
      </c>
      <c r="AN61" s="10" t="s">
        <v>239</v>
      </c>
      <c r="AO61" s="21">
        <v>10</v>
      </c>
      <c r="AP61" s="10" t="s">
        <v>215</v>
      </c>
    </row>
    <row r="62" spans="1:42" ht="30" x14ac:dyDescent="0.25">
      <c r="A62" s="59">
        <v>44817</v>
      </c>
      <c r="C62" s="10">
        <v>4600909</v>
      </c>
      <c r="D62" s="10" t="s">
        <v>198</v>
      </c>
      <c r="E62" s="11">
        <v>9</v>
      </c>
      <c r="F62" s="39">
        <v>598446.833753363</v>
      </c>
      <c r="G62" s="39">
        <v>6071180.6226790501</v>
      </c>
      <c r="H62" s="11" t="s">
        <v>213</v>
      </c>
      <c r="I62" s="11" t="s">
        <v>214</v>
      </c>
      <c r="K62" s="11" t="s">
        <v>227</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t="s">
        <v>201</v>
      </c>
    </row>
    <row r="63" spans="1:42" x14ac:dyDescent="0.25">
      <c r="A63" s="59">
        <v>44817</v>
      </c>
      <c r="C63" s="10">
        <v>4600907</v>
      </c>
      <c r="D63" s="10" t="s">
        <v>198</v>
      </c>
      <c r="E63" s="11">
        <v>9</v>
      </c>
      <c r="F63" s="39">
        <v>604915.29773594695</v>
      </c>
      <c r="G63" s="39">
        <v>6070603.25602197</v>
      </c>
      <c r="H63" s="11" t="s">
        <v>199</v>
      </c>
      <c r="I63" s="11" t="s">
        <v>214</v>
      </c>
      <c r="K63" s="11" t="s">
        <v>227</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t="s">
        <v>202</v>
      </c>
    </row>
    <row r="64" spans="1:42" x14ac:dyDescent="0.25">
      <c r="A64" s="59">
        <v>44817</v>
      </c>
      <c r="C64" s="10">
        <v>4742005</v>
      </c>
      <c r="D64" s="10" t="s">
        <v>198</v>
      </c>
      <c r="E64" s="11">
        <v>9</v>
      </c>
      <c r="F64" s="39">
        <v>605308.379158522</v>
      </c>
      <c r="G64" s="39">
        <v>6069772.6640846301</v>
      </c>
      <c r="H64" s="11" t="s">
        <v>212</v>
      </c>
      <c r="I64" s="11" t="s">
        <v>214</v>
      </c>
      <c r="J64" s="22">
        <v>7</v>
      </c>
      <c r="K64" s="11" t="s">
        <v>227</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t="s">
        <v>203</v>
      </c>
    </row>
    <row r="65" spans="1:42" ht="30" x14ac:dyDescent="0.25">
      <c r="A65" s="59">
        <v>44813</v>
      </c>
      <c r="C65" s="10">
        <v>8300090</v>
      </c>
      <c r="D65" s="10" t="s">
        <v>200</v>
      </c>
      <c r="E65" s="11">
        <v>9</v>
      </c>
      <c r="F65" s="39">
        <v>558928.26509999996</v>
      </c>
      <c r="G65" s="39">
        <v>6126835.7699999996</v>
      </c>
      <c r="H65" s="11" t="s">
        <v>209</v>
      </c>
      <c r="I65" s="11" t="s">
        <v>210</v>
      </c>
      <c r="K65" s="11" t="s">
        <v>222</v>
      </c>
      <c r="L65" s="10" t="s">
        <v>98</v>
      </c>
      <c r="M65" s="10" t="s">
        <v>103</v>
      </c>
      <c r="N65" s="21">
        <v>3.8</v>
      </c>
      <c r="O65" s="21">
        <v>25</v>
      </c>
      <c r="P65" s="10" t="s">
        <v>102</v>
      </c>
      <c r="Q65" s="21">
        <v>2.16</v>
      </c>
      <c r="R65" s="10" t="s">
        <v>102</v>
      </c>
      <c r="S65" s="10" t="s">
        <v>96</v>
      </c>
      <c r="T65" s="88"/>
      <c r="U65" s="21">
        <v>2</v>
      </c>
      <c r="V65" s="10">
        <v>0</v>
      </c>
      <c r="W65" s="21">
        <v>0</v>
      </c>
      <c r="X65" s="10" t="s">
        <v>96</v>
      </c>
      <c r="Y65" s="21">
        <v>2</v>
      </c>
      <c r="Z65" s="21">
        <v>2.6</v>
      </c>
      <c r="AA65" s="10">
        <v>2</v>
      </c>
      <c r="AB65" s="10" t="s">
        <v>102</v>
      </c>
      <c r="AC65" s="10" t="s">
        <v>96</v>
      </c>
      <c r="AD65" s="10" t="s">
        <v>104</v>
      </c>
      <c r="AE65" s="10" t="s">
        <v>134</v>
      </c>
      <c r="AF65" s="20">
        <f t="shared" si="8"/>
        <v>0.68421052631578949</v>
      </c>
      <c r="AG65" s="13">
        <f t="shared" si="1"/>
        <v>3</v>
      </c>
      <c r="AH65" s="7">
        <f t="shared" si="2"/>
        <v>0</v>
      </c>
      <c r="AI65" s="7">
        <f t="shared" si="3"/>
        <v>0</v>
      </c>
      <c r="AJ65" s="7">
        <f t="shared" si="4"/>
        <v>5</v>
      </c>
      <c r="AK65" s="7">
        <f t="shared" si="5"/>
        <v>0</v>
      </c>
      <c r="AL65" s="12">
        <f t="shared" si="9"/>
        <v>8</v>
      </c>
      <c r="AM65" s="14" t="str">
        <f t="shared" si="7"/>
        <v>Passable</v>
      </c>
      <c r="AN65" s="86"/>
      <c r="AO65" s="88"/>
      <c r="AP65" s="10" t="s">
        <v>211</v>
      </c>
    </row>
    <row r="66" spans="1:42"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42"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42"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42"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42"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42"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42"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42"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42"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42"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J2qxsaaFNIXV4K5jhzUqJG2QHEJUv54d8k8ENYvYdyl8NUsWM30O92DT4ZRH5nnu4Qx1hhyXj92eoezCbLXkQ==" saltValue="n86LjCKDXEfyXyYGbWPY1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66: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49 Q44 Q30 Q28 Q23"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list" allowBlank="1" showInputMessage="1" showErrorMessage="1" errorTitle="Invalid value entered" error="The crossing subtype is not compatible with a crossing type of Closed Bottom Structure" sqref="M15:M35 M7:M13 M49:M50 M38:M47 M55 M6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N6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3.79 and &gt;= 0.01" sqref="Q54 Q65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3.99 and &gt;= 0.01" sqref="Q6 Q58" xr:uid="{9A65B31F-B4C0-414F-93EE-6C8CCF7ACC01}">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7 Q32:Q34 Q21:Q22" xr:uid="{2E7799CC-75D3-437B-BE27-4D740BFFABD7}">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43 Q24 Q17 Q15 Q8:Q9" xr:uid="{B471ECE9-6A87-4947-BCC3-DFD40493B92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1E312468-1D04-476D-8CA3-7E015A068506}">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C95EE510-1D3B-4D51-BE01-208F412F6D36}">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1BB3F49F-C22B-49B2-8007-CE5DD984D534}">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55 Q38" xr:uid="{2783DC9E-ED1C-4C5B-A3A5-EF01E6305B05}">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E6796A6E-06C2-474D-82AB-73CDFC1CAB83}">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1AC65438-FAB3-4AEB-A837-42BE63624E02}">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68892B3F-7B3F-4331-8859-61E2C2DE4782}">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4A9736DC-F325-414D-B0C3-D149D62EB274}">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FA98CE46-EDD8-49CB-962D-A2C8EB02A1E9}">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03E991CA-DD31-4C77-8DED-DAFA8422B0CF}">
      <formula1>0.01</formula1>
      <formula2>5.99</formula2>
    </dataValidation>
    <dataValidation type="decimal" allowBlank="1" showInputMessage="1" showErrorMessage="1" errorTitle="Invalid value entered" error="The Average Depth Embededdment you entered is invalid. The Average Depth Embededdment must be &lt;= 3.89 and &gt;= 0.01" sqref="Q37" xr:uid="{41D80BAA-3FAF-45ED-8021-F50161EE2933}">
      <formula1>0.01</formula1>
      <formula2>3.89</formula2>
    </dataValidation>
    <dataValidation type="decimal" allowBlank="1" showInputMessage="1" showErrorMessage="1" errorTitle="Invalid value entered" error="The Average Depth Embededdment you entered is invalid. The Average Depth Embededdment must be &lt;= 0.94 and &gt;= 0.01" sqref="Q39" xr:uid="{6455DE34-CB50-4090-A9AA-DB3FACDDC51D}">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633356DD-62E6-484B-82F4-2A0731D175F4}">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41D5FF68-A3B2-4517-8E9F-500CCAF63673}">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38899231-703F-4619-8992-C4A60E91218C}">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4709E484-62F3-4DFC-8E95-0E821C27D76C}">
      <formula1>0.01</formula1>
      <formula2>4.79</formula2>
    </dataValidation>
    <dataValidation type="decimal" allowBlank="1" showInputMessage="1" showErrorMessage="1" errorTitle="Invalid value entered" error="The Average Depth Embededdment you entered is invalid. The Average Depth Embededdment must be &lt;= 2.39 and &gt;= 0.01" sqref="Q50" xr:uid="{7ED9EAFD-8958-407E-AF30-440E46B23ACF}">
      <formula1>0.01</formula1>
      <formula2>2.39</formula2>
    </dataValidation>
    <dataValidation type="decimal" allowBlank="1" showInputMessage="1" showErrorMessage="1" errorTitle="Invalid value entered" error="The Average Depth Embededdment you entered is invalid. The Average Depth Embededdment must be &lt;= 8.99 and &gt;= 0.01" sqref="Q56" xr:uid="{2898F006-2AF5-403E-93C0-BCED7E7E67BE}">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4B4162C1-1318-4950-9FB2-867BDA53BD57}">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B8EA2F18-03EA-4790-9687-F7D503996764}">
      <formula1>0.01</formula1>
      <formula2>3.49</formula2>
    </dataValidation>
    <dataValidation type="decimal" allowBlank="1" showInputMessage="1" showErrorMessage="1" errorTitle="Invalid value entered" error="The Average Depth Embededdment you entered is invalid. The Average Depth Embededdment must be &lt;= 13.99 and &gt;= 0.01" sqref="Q60" xr:uid="{EE2217BA-3923-458C-BD85-D3C8733BE720}">
      <formula1>0.01</formula1>
      <formula2>13.99</formula2>
    </dataValidation>
    <dataValidation type="decimal" allowBlank="1" showInputMessage="1" showErrorMessage="1" errorTitle="Invalid value entered" error="The Average Depth Embededdment you entered is invalid. The Average Depth Embededdment must be &lt;= 0.84 and &gt;= 0.01" sqref="Q61" xr:uid="{5E0E857F-EA5C-451A-95B4-D9E4CCBC96F3}">
      <formula1>0.01</formula1>
      <formula2>0.84</formula2>
    </dataValidation>
    <dataValidation type="decimal" allowBlank="1" showInputMessage="1" showErrorMessage="1" errorTitle="Invalid value entered" error="The Average Depth Embededdment you entered is invalid. The Average Depth Embededdment must be &lt;= 9.79 and &gt;= 0.01" sqref="Q62" xr:uid="{85629C5B-226B-4874-96DD-FB446F43324B}">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402CE491-ECEC-456B-AE25-C865A5B4692D}">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row r="2" spans="1:3" ht="30" x14ac:dyDescent="0.25">
      <c r="A2" s="16" t="s">
        <v>247</v>
      </c>
      <c r="B2" s="16">
        <v>18</v>
      </c>
      <c r="C2" s="17" t="s">
        <v>248</v>
      </c>
    </row>
    <row r="3" spans="1:3" ht="30" x14ac:dyDescent="0.25">
      <c r="A3" s="16" t="s">
        <v>247</v>
      </c>
      <c r="B3" s="16">
        <v>18</v>
      </c>
      <c r="C3" s="17" t="s">
        <v>248</v>
      </c>
    </row>
    <row r="4" spans="1:3" ht="75" x14ac:dyDescent="0.25">
      <c r="A4" s="16" t="s">
        <v>249</v>
      </c>
      <c r="B4" s="16">
        <v>5</v>
      </c>
      <c r="C4" s="17" t="s">
        <v>250</v>
      </c>
    </row>
    <row r="5" spans="1:3" ht="75" x14ac:dyDescent="0.25">
      <c r="A5" s="16" t="s">
        <v>249</v>
      </c>
      <c r="B5" s="16">
        <v>6</v>
      </c>
      <c r="C5" s="17" t="s">
        <v>251</v>
      </c>
    </row>
    <row r="6" spans="1:3" ht="75" x14ac:dyDescent="0.25">
      <c r="A6" s="16" t="s">
        <v>249</v>
      </c>
      <c r="B6" s="16">
        <v>7</v>
      </c>
      <c r="C6" s="17" t="s">
        <v>252</v>
      </c>
    </row>
    <row r="7" spans="1:3" ht="75" x14ac:dyDescent="0.25">
      <c r="A7" s="16" t="s">
        <v>249</v>
      </c>
      <c r="B7" s="16">
        <v>8</v>
      </c>
      <c r="C7" s="17" t="s">
        <v>253</v>
      </c>
    </row>
    <row r="8" spans="1:3" ht="75" x14ac:dyDescent="0.25">
      <c r="A8" s="16" t="s">
        <v>249</v>
      </c>
      <c r="B8" s="16">
        <v>9</v>
      </c>
      <c r="C8" s="17" t="s">
        <v>254</v>
      </c>
    </row>
    <row r="9" spans="1:3" ht="45" x14ac:dyDescent="0.25">
      <c r="A9" s="16" t="s">
        <v>35</v>
      </c>
      <c r="B9" s="16">
        <v>10</v>
      </c>
      <c r="C9" s="17" t="s">
        <v>255</v>
      </c>
    </row>
    <row r="10" spans="1:3" ht="75" x14ac:dyDescent="0.25">
      <c r="A10" s="16" t="s">
        <v>249</v>
      </c>
      <c r="B10" s="16">
        <v>10</v>
      </c>
      <c r="C10" s="17" t="s">
        <v>256</v>
      </c>
    </row>
    <row r="11" spans="1:3" ht="75" x14ac:dyDescent="0.25">
      <c r="A11" s="16" t="s">
        <v>249</v>
      </c>
      <c r="B11" s="16">
        <v>11</v>
      </c>
      <c r="C11" s="17" t="s">
        <v>257</v>
      </c>
    </row>
    <row r="12" spans="1:3" ht="75" x14ac:dyDescent="0.25">
      <c r="A12" s="16" t="s">
        <v>249</v>
      </c>
      <c r="B12" s="16">
        <v>12</v>
      </c>
      <c r="C12" s="17" t="s">
        <v>258</v>
      </c>
    </row>
    <row r="13" spans="1:3" ht="75" x14ac:dyDescent="0.25">
      <c r="A13" s="16" t="s">
        <v>249</v>
      </c>
      <c r="B13" s="16">
        <v>13</v>
      </c>
      <c r="C13" s="17" t="s">
        <v>259</v>
      </c>
    </row>
    <row r="14" spans="1:3" ht="75" x14ac:dyDescent="0.25">
      <c r="A14" s="16" t="s">
        <v>249</v>
      </c>
      <c r="B14" s="16">
        <v>14</v>
      </c>
      <c r="C14" s="17" t="s">
        <v>260</v>
      </c>
    </row>
    <row r="15" spans="1:3" ht="75" x14ac:dyDescent="0.25">
      <c r="A15" s="16" t="s">
        <v>249</v>
      </c>
      <c r="B15" s="16">
        <v>15</v>
      </c>
      <c r="C15" s="17" t="s">
        <v>261</v>
      </c>
    </row>
    <row r="16" spans="1:3" ht="75" x14ac:dyDescent="0.25">
      <c r="A16" s="16" t="s">
        <v>249</v>
      </c>
      <c r="B16" s="16">
        <v>16</v>
      </c>
      <c r="C16" s="17" t="s">
        <v>262</v>
      </c>
    </row>
    <row r="17" spans="1:3" ht="75" x14ac:dyDescent="0.25">
      <c r="A17" s="16" t="s">
        <v>249</v>
      </c>
      <c r="B17" s="16">
        <v>17</v>
      </c>
      <c r="C17" s="17" t="s">
        <v>263</v>
      </c>
    </row>
    <row r="18" spans="1:3" ht="75" x14ac:dyDescent="0.25">
      <c r="A18" s="16" t="s">
        <v>249</v>
      </c>
      <c r="B18" s="16">
        <v>18</v>
      </c>
      <c r="C18" s="17" t="s">
        <v>264</v>
      </c>
    </row>
    <row r="19" spans="1:3" ht="75" x14ac:dyDescent="0.25">
      <c r="A19" s="16" t="s">
        <v>249</v>
      </c>
      <c r="B19" s="16">
        <v>19</v>
      </c>
      <c r="C19" s="17" t="s">
        <v>265</v>
      </c>
    </row>
    <row r="20" spans="1:3" ht="75" x14ac:dyDescent="0.25">
      <c r="A20" s="16" t="s">
        <v>249</v>
      </c>
      <c r="B20" s="16">
        <v>20</v>
      </c>
      <c r="C20" s="17" t="s">
        <v>266</v>
      </c>
    </row>
    <row r="21" spans="1:3" ht="75" x14ac:dyDescent="0.25">
      <c r="A21" s="16" t="s">
        <v>249</v>
      </c>
      <c r="B21" s="16">
        <v>21</v>
      </c>
      <c r="C21" s="17" t="s">
        <v>267</v>
      </c>
    </row>
    <row r="22" spans="1:3" ht="75" x14ac:dyDescent="0.25">
      <c r="A22" s="16" t="s">
        <v>249</v>
      </c>
      <c r="B22" s="16">
        <v>22</v>
      </c>
      <c r="C22" s="17" t="s">
        <v>268</v>
      </c>
    </row>
    <row r="23" spans="1:3" ht="75" x14ac:dyDescent="0.25">
      <c r="A23" s="16" t="s">
        <v>249</v>
      </c>
      <c r="B23" s="16">
        <v>23</v>
      </c>
      <c r="C23" s="17" t="s">
        <v>269</v>
      </c>
    </row>
    <row r="24" spans="1:3" ht="75" x14ac:dyDescent="0.25">
      <c r="A24" s="16" t="s">
        <v>249</v>
      </c>
      <c r="B24" s="16">
        <v>24</v>
      </c>
      <c r="C24" s="17" t="s">
        <v>270</v>
      </c>
    </row>
    <row r="25" spans="1:3" ht="75" x14ac:dyDescent="0.25">
      <c r="A25" s="16" t="s">
        <v>249</v>
      </c>
      <c r="B25" s="16">
        <v>25</v>
      </c>
      <c r="C25" s="17" t="s">
        <v>271</v>
      </c>
    </row>
    <row r="26" spans="1:3" ht="75" x14ac:dyDescent="0.25">
      <c r="A26" s="16" t="s">
        <v>249</v>
      </c>
      <c r="B26" s="16">
        <v>26</v>
      </c>
      <c r="C26" s="17" t="s">
        <v>272</v>
      </c>
    </row>
    <row r="27" spans="1:3" ht="75" x14ac:dyDescent="0.25">
      <c r="A27" s="16" t="s">
        <v>249</v>
      </c>
      <c r="B27" s="16">
        <v>27</v>
      </c>
      <c r="C27" s="17" t="s">
        <v>273</v>
      </c>
    </row>
    <row r="28" spans="1:3" ht="75" x14ac:dyDescent="0.25">
      <c r="A28" s="16" t="s">
        <v>249</v>
      </c>
      <c r="B28" s="16">
        <v>28</v>
      </c>
      <c r="C28" s="17" t="s">
        <v>274</v>
      </c>
    </row>
    <row r="29" spans="1:3" ht="75" x14ac:dyDescent="0.25">
      <c r="A29" s="16" t="s">
        <v>249</v>
      </c>
      <c r="B29" s="16">
        <v>29</v>
      </c>
      <c r="C29" s="17" t="s">
        <v>275</v>
      </c>
    </row>
    <row r="30" spans="1:3" ht="75" x14ac:dyDescent="0.25">
      <c r="A30" s="16" t="s">
        <v>249</v>
      </c>
      <c r="B30" s="16">
        <v>30</v>
      </c>
      <c r="C30" s="17" t="s">
        <v>276</v>
      </c>
    </row>
    <row r="31" spans="1:3" ht="75" x14ac:dyDescent="0.25">
      <c r="A31" s="16" t="s">
        <v>249</v>
      </c>
      <c r="B31" s="16">
        <v>31</v>
      </c>
      <c r="C31" s="17" t="s">
        <v>277</v>
      </c>
    </row>
    <row r="32" spans="1:3" ht="75" x14ac:dyDescent="0.25">
      <c r="A32" s="16" t="s">
        <v>249</v>
      </c>
      <c r="B32" s="16">
        <v>32</v>
      </c>
      <c r="C32" s="17" t="s">
        <v>278</v>
      </c>
    </row>
    <row r="33" spans="1:3" ht="75" x14ac:dyDescent="0.25">
      <c r="A33" s="16" t="s">
        <v>249</v>
      </c>
      <c r="B33" s="16">
        <v>33</v>
      </c>
      <c r="C33" s="17" t="s">
        <v>279</v>
      </c>
    </row>
    <row r="34" spans="1:3" ht="75" x14ac:dyDescent="0.25">
      <c r="A34" s="16" t="s">
        <v>249</v>
      </c>
      <c r="B34" s="16">
        <v>34</v>
      </c>
      <c r="C34" s="17" t="s">
        <v>280</v>
      </c>
    </row>
    <row r="35" spans="1:3" ht="75" x14ac:dyDescent="0.25">
      <c r="A35" s="16" t="s">
        <v>249</v>
      </c>
      <c r="B35" s="16">
        <v>35</v>
      </c>
      <c r="C35" s="17" t="s">
        <v>281</v>
      </c>
    </row>
    <row r="36" spans="1:3" ht="75" x14ac:dyDescent="0.25">
      <c r="A36" s="16" t="s">
        <v>249</v>
      </c>
      <c r="B36" s="16">
        <v>36</v>
      </c>
      <c r="C36" s="17" t="s">
        <v>282</v>
      </c>
    </row>
    <row r="37" spans="1:3" ht="75" x14ac:dyDescent="0.25">
      <c r="A37" s="16" t="s">
        <v>249</v>
      </c>
      <c r="B37" s="16">
        <v>37</v>
      </c>
      <c r="C37" s="17" t="s">
        <v>283</v>
      </c>
    </row>
    <row r="38" spans="1:3" ht="75" x14ac:dyDescent="0.25">
      <c r="A38" s="16" t="s">
        <v>249</v>
      </c>
      <c r="B38" s="16">
        <v>38</v>
      </c>
      <c r="C38" s="17" t="s">
        <v>284</v>
      </c>
    </row>
    <row r="39" spans="1:3" ht="75" x14ac:dyDescent="0.25">
      <c r="A39" s="16" t="s">
        <v>249</v>
      </c>
      <c r="B39" s="16">
        <v>39</v>
      </c>
      <c r="C39" s="17" t="s">
        <v>285</v>
      </c>
    </row>
    <row r="40" spans="1:3" ht="75" x14ac:dyDescent="0.25">
      <c r="A40" s="16" t="s">
        <v>249</v>
      </c>
      <c r="B40" s="16">
        <v>40</v>
      </c>
      <c r="C40" s="17" t="s">
        <v>286</v>
      </c>
    </row>
    <row r="41" spans="1:3" ht="75" x14ac:dyDescent="0.25">
      <c r="A41" s="16" t="s">
        <v>249</v>
      </c>
      <c r="B41" s="16">
        <v>41</v>
      </c>
      <c r="C41" s="17" t="s">
        <v>287</v>
      </c>
    </row>
    <row r="42" spans="1:3" ht="75" x14ac:dyDescent="0.25">
      <c r="A42" s="16" t="s">
        <v>249</v>
      </c>
      <c r="B42" s="16">
        <v>42</v>
      </c>
      <c r="C42" s="17" t="s">
        <v>288</v>
      </c>
    </row>
    <row r="43" spans="1:3" ht="75" x14ac:dyDescent="0.25">
      <c r="A43" s="16" t="s">
        <v>249</v>
      </c>
      <c r="B43" s="16">
        <v>43</v>
      </c>
      <c r="C43" s="17" t="s">
        <v>289</v>
      </c>
    </row>
    <row r="44" spans="1:3" ht="75" x14ac:dyDescent="0.25">
      <c r="A44" s="16" t="s">
        <v>249</v>
      </c>
      <c r="B44" s="16">
        <v>44</v>
      </c>
      <c r="C44" s="17" t="s">
        <v>290</v>
      </c>
    </row>
    <row r="45" spans="1:3" ht="75" x14ac:dyDescent="0.25">
      <c r="A45" s="16" t="s">
        <v>249</v>
      </c>
      <c r="B45" s="16">
        <v>45</v>
      </c>
      <c r="C45" s="17" t="s">
        <v>291</v>
      </c>
    </row>
    <row r="46" spans="1:3" ht="75" x14ac:dyDescent="0.25">
      <c r="A46" s="16" t="s">
        <v>249</v>
      </c>
      <c r="B46" s="16">
        <v>46</v>
      </c>
      <c r="C46" s="17" t="s">
        <v>292</v>
      </c>
    </row>
    <row r="47" spans="1:3" ht="75" x14ac:dyDescent="0.25">
      <c r="A47" s="16" t="s">
        <v>249</v>
      </c>
      <c r="B47" s="16">
        <v>47</v>
      </c>
      <c r="C47" s="17" t="s">
        <v>293</v>
      </c>
    </row>
    <row r="48" spans="1:3" ht="75" x14ac:dyDescent="0.25">
      <c r="A48" s="16" t="s">
        <v>249</v>
      </c>
      <c r="B48" s="16">
        <v>48</v>
      </c>
      <c r="C48" s="17" t="s">
        <v>294</v>
      </c>
    </row>
    <row r="49" spans="1:3" ht="75" x14ac:dyDescent="0.25">
      <c r="A49" s="16" t="s">
        <v>249</v>
      </c>
      <c r="B49" s="16">
        <v>49</v>
      </c>
      <c r="C49" s="17" t="s">
        <v>295</v>
      </c>
    </row>
    <row r="50" spans="1:3" ht="75" x14ac:dyDescent="0.25">
      <c r="A50" s="16" t="s">
        <v>249</v>
      </c>
      <c r="B50" s="16">
        <v>50</v>
      </c>
      <c r="C50" s="17" t="s">
        <v>296</v>
      </c>
    </row>
    <row r="51" spans="1:3" ht="75" x14ac:dyDescent="0.25">
      <c r="A51" s="16" t="s">
        <v>249</v>
      </c>
      <c r="B51" s="16">
        <v>51</v>
      </c>
      <c r="C51" s="17" t="s">
        <v>297</v>
      </c>
    </row>
    <row r="52" spans="1:3" ht="75" x14ac:dyDescent="0.25">
      <c r="A52" s="16" t="s">
        <v>249</v>
      </c>
      <c r="B52" s="16">
        <v>52</v>
      </c>
      <c r="C52" s="17" t="s">
        <v>298</v>
      </c>
    </row>
    <row r="53" spans="1:3" ht="75" x14ac:dyDescent="0.25">
      <c r="A53" s="16" t="s">
        <v>249</v>
      </c>
      <c r="B53" s="16">
        <v>53</v>
      </c>
      <c r="C53" s="17" t="s">
        <v>299</v>
      </c>
    </row>
    <row r="54" spans="1:3" ht="75" x14ac:dyDescent="0.25">
      <c r="A54" s="16" t="s">
        <v>249</v>
      </c>
      <c r="B54" s="16">
        <v>54</v>
      </c>
      <c r="C54" s="17" t="s">
        <v>300</v>
      </c>
    </row>
    <row r="55" spans="1:3" ht="75" x14ac:dyDescent="0.25">
      <c r="A55" s="16" t="s">
        <v>249</v>
      </c>
      <c r="B55" s="16">
        <v>55</v>
      </c>
      <c r="C55" s="17" t="s">
        <v>301</v>
      </c>
    </row>
    <row r="56" spans="1:3" ht="75" x14ac:dyDescent="0.25">
      <c r="A56" s="16" t="s">
        <v>249</v>
      </c>
      <c r="B56" s="16">
        <v>56</v>
      </c>
      <c r="C56" s="17" t="s">
        <v>302</v>
      </c>
    </row>
    <row r="57" spans="1:3" ht="75" x14ac:dyDescent="0.25">
      <c r="A57" s="16" t="s">
        <v>249</v>
      </c>
      <c r="B57" s="16">
        <v>57</v>
      </c>
      <c r="C57" s="17" t="s">
        <v>303</v>
      </c>
    </row>
    <row r="58" spans="1:3" ht="75" x14ac:dyDescent="0.25">
      <c r="A58" s="16" t="s">
        <v>249</v>
      </c>
      <c r="B58" s="16">
        <v>58</v>
      </c>
      <c r="C58" s="17" t="s">
        <v>304</v>
      </c>
    </row>
    <row r="59" spans="1:3" ht="75" x14ac:dyDescent="0.25">
      <c r="A59" s="16" t="s">
        <v>249</v>
      </c>
      <c r="B59" s="16">
        <v>59</v>
      </c>
      <c r="C59" s="17" t="s">
        <v>305</v>
      </c>
    </row>
    <row r="60" spans="1:3" ht="75" x14ac:dyDescent="0.25">
      <c r="A60" s="16" t="s">
        <v>249</v>
      </c>
      <c r="B60" s="16">
        <v>60</v>
      </c>
      <c r="C60" s="17" t="s">
        <v>306</v>
      </c>
    </row>
    <row r="61" spans="1:3" ht="75" x14ac:dyDescent="0.25">
      <c r="A61" s="16" t="s">
        <v>249</v>
      </c>
      <c r="B61" s="16">
        <v>61</v>
      </c>
      <c r="C61" s="17" t="s">
        <v>307</v>
      </c>
    </row>
    <row r="62" spans="1:3" ht="75" x14ac:dyDescent="0.25">
      <c r="A62" s="16" t="s">
        <v>249</v>
      </c>
      <c r="B62" s="16">
        <v>62</v>
      </c>
      <c r="C62" s="17" t="s">
        <v>308</v>
      </c>
    </row>
    <row r="63" spans="1:3" ht="75" x14ac:dyDescent="0.25">
      <c r="A63" s="16" t="s">
        <v>249</v>
      </c>
      <c r="B63" s="16">
        <v>63</v>
      </c>
      <c r="C63" s="17" t="s">
        <v>309</v>
      </c>
    </row>
    <row r="64" spans="1:3" ht="75" x14ac:dyDescent="0.25">
      <c r="A64" s="16" t="s">
        <v>249</v>
      </c>
      <c r="B64" s="16">
        <v>64</v>
      </c>
      <c r="C64" s="17" t="s">
        <v>310</v>
      </c>
    </row>
    <row r="65" spans="1:3" ht="75" x14ac:dyDescent="0.25">
      <c r="A65" s="16" t="s">
        <v>249</v>
      </c>
      <c r="B65" s="16">
        <v>65</v>
      </c>
      <c r="C65" s="17" t="s">
        <v>311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2023-01-12T01:37:07Z</dcterms:modified>
</cp:coreProperties>
</file>