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2_reporting/data/"/>
    </mc:Choice>
  </mc:AlternateContent>
  <xr:revisionPtr revIDLastSave="0" documentId="13_ncr:1_{5D74E72D-03FE-1C45-A6BF-7C21A324C7CE}" xr6:coauthVersionLast="47" xr6:coauthVersionMax="47" xr10:uidLastSave="{00000000-0000-0000-0000-000000000000}"/>
  <bookViews>
    <workbookView xWindow="-76300" yWindow="260" windowWidth="31280" windowHeight="1850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4" i="2"/>
  <c r="AM63" i="2"/>
  <c r="AM62" i="2"/>
  <c r="AM60" i="2"/>
  <c r="AM59" i="2"/>
  <c r="AM58" i="2"/>
  <c r="AM57" i="2"/>
  <c r="AM56"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L10" i="2" s="1"/>
  <c r="AM10" i="2" s="1"/>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L15" i="2" s="1"/>
  <c r="AM15" i="2" s="1"/>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45" i="2"/>
  <c r="AM45" i="2" s="1"/>
  <c r="AL37" i="2"/>
  <c r="AM37" i="2" s="1"/>
  <c r="AL29" i="2"/>
  <c r="AM29"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22" i="2"/>
  <c r="AM22" i="2" s="1"/>
  <c r="AL87" i="2"/>
  <c r="AL79" i="2"/>
  <c r="AL71" i="2"/>
  <c r="AL55" i="2"/>
  <c r="AM55" i="2" s="1"/>
  <c r="AL47" i="2"/>
  <c r="AM47" i="2" s="1"/>
  <c r="AL39" i="2"/>
  <c r="AM39" i="2" s="1"/>
  <c r="AL31" i="2"/>
  <c r="AM31" i="2" s="1"/>
  <c r="AL23" i="2"/>
  <c r="AM23" i="2" s="1"/>
  <c r="AL89" i="2"/>
  <c r="AL81" i="2"/>
  <c r="AL73" i="2"/>
  <c r="AL33" i="2"/>
  <c r="AM33" i="2" s="1"/>
  <c r="AL25" i="2"/>
  <c r="AM25" i="2" s="1"/>
  <c r="AL75" i="2"/>
  <c r="AL67" i="2"/>
  <c r="AL35" i="2"/>
  <c r="AM35" i="2" s="1"/>
  <c r="AL27" i="2"/>
  <c r="AM27" i="2" s="1"/>
  <c r="AL17" i="2"/>
  <c r="AM17" i="2" s="1"/>
  <c r="AL19" i="2"/>
  <c r="AM19"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L8" i="2"/>
  <c r="AM8" i="2" s="1"/>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9" i="2" l="1"/>
  <c r="AM9" i="2" s="1"/>
  <c r="AL7" i="2"/>
  <c r="AM7" i="2" s="1"/>
  <c r="AL65" i="2"/>
  <c r="AM65" i="2" s="1"/>
  <c r="AL63" i="2"/>
  <c r="AL62" i="2"/>
  <c r="AL64" i="2"/>
  <c r="AL61" i="2"/>
  <c r="AM61" i="2" s="1"/>
  <c r="AL60" i="2"/>
  <c r="AL59" i="2"/>
  <c r="AL56" i="2"/>
  <c r="AL57" i="2"/>
  <c r="AL54" i="2"/>
  <c r="AM54" i="2" s="1"/>
  <c r="AL51" i="2"/>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rgb="FF000000"/>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<sst xmlns="http://schemas.openxmlformats.org/spreadsheetml/2006/main" count="1085" uniqueCount="316">
  <si>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</si>
  <si>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</si>
  <si>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</si>
  <si>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</si>
  <si>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</si>
  <si>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</si>
  <si>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</si>
  <si>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</si>
  <si>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</si>
  <si>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</si>
  <si>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</si>
  <si>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</si>
  <si>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</si>
  <si>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</si>
  <si>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</si>
  <si>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</si>
  <si>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</si>
  <si>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</si>
  <si>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</si>
  <si>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</si>
  <si>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</si>
  <si>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</si>
  <si>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</si>
  <si>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</si>
  <si>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</si>
  <si>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</si>
  <si>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</si>
  <si>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</si>
  <si>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</si>
  <si>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</si>
  <si>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</si>
  <si>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</si>
  <si>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</si>
  <si>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</si>
  <si>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</si>
  <si>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</si>
  <si>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</si>
  <si>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</si>
  <si>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</si>
  <si>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</si>
  <si>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</si>
  <si>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</si>
  <si>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</si>
  <si>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</si>
  <si>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</si>
  <si>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</si>
  <si>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</si>
  <si>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</si>
  <si>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</si>
  <si>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</si>
  <si>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</si>
  <si>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</si>
  <si>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</si>
  <si>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</si>
  <si>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</si>
  <si>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</si>
  <si>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</si>
  <si>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</si>
  <si>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</si>
  <si>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</si>
  <si>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</si>
  <si>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</si>
  <si>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</si>
  <si>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</si>
  <si>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</si>
  <si>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</si>
  <si>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</si>
  <si>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</si>
  <si>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</si>
  <si>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</si>
  <si>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</si>
  <si>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</si>
  <si>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</si>
  <si>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</si>
  <si>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</si>
  <si>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</si>
  <si>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</si>
  <si>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</si>
  <si>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</si>
  <si>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</si>
  <si>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</si>
  <si>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</si>
  <si>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</si>
  <si>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</si>
  <si>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</si>
  <si>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</si>
  <si>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</si>
  <si>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</si>
  <si>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</si>
  <si>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</si>
  <si>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</si>
  <si>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</si>
  <si>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</si>
  <si>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</si>
  <si>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</si>
  <si>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</si>
  <si>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</si>
  <si>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</si>
  <si>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</si>
  <si>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</si>
  <si>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</si>
  <si>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</si>
  <si>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</si>
  <si>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</si>
  <si>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</si>
  <si>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</si>
  <si>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</si>
  <si>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</si>
  <si>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</si>
  <si>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Very little flow, shallow stream around culvert. Large amounts of woody debris blocking stream near inlet. Lots of cover around stream. 13:23</t>
  </si>
  <si>
    <t>Trib to McCully Creek</t>
  </si>
  <si>
    <t>Culvert is black and plastic. 14:16</t>
  </si>
  <si>
    <t>Big beaver dam right near inlet (about 2m in height). 16:12</t>
  </si>
  <si>
    <t>Tributary to Footsore Lake</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</si>
  <si>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</si>
  <si>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</si>
  <si>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</si>
  <si>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</si>
  <si>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</si>
  <si>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</si>
  <si>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</si>
  <si>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</si>
  <si>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</si>
  <si>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</si>
  <si>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</si>
  <si>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</si>
  <si>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</si>
  <si>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</si>
  <si>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</si>
  <si>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</si>
  <si>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</si>
  <si>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</si>
  <si>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</si>
  <si>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</si>
  <si>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</si>
  <si>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</si>
  <si>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</si>
  <si>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</si>
  <si>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</si>
  <si>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Tributary to Kispiox River </t>
  </si>
  <si>
    <t>Bedrock</t>
  </si>
  <si>
    <t xml:space="preserve">Natural bed rock cascade of greater than 20% immediately downstream of culvert outlet for a distance of approximately 20 m.  11:35  </t>
  </si>
  <si>
    <t xml:space="preserve">Tributary to McCully Creek </t>
  </si>
  <si>
    <t xml:space="preserve">Dry draw with all organic substrate and moss throughout channel. Culvert outlet is severely rusted with the bottom completely corroded for the last approximately 1 m. Unlikely a fish bearing stream. 13:39             </t>
  </si>
  <si>
    <t>Poplar Park Rd</t>
  </si>
  <si>
    <t>Tributary to Sweetin River</t>
  </si>
  <si>
    <t xml:space="preserve">Mossy draw. Channel is very small and poorly defined. Very unlikely that this is fish habitat.  Inlet covered with significant amounts of debris. 14:54     </t>
  </si>
  <si>
    <t xml:space="preserve">Stream dry at time of assessment. Significant accumulation of debris just upstream of the inlet. 17:30        </t>
  </si>
  <si>
    <t>Pipe Arch</t>
  </si>
  <si>
    <t xml:space="preserve">Trib to Cullon Creek </t>
  </si>
  <si>
    <t>Shallow Fill</t>
  </si>
  <si>
    <t>Baffles installed. 13:32</t>
  </si>
  <si>
    <t xml:space="preserve">Tributary to Skeena River </t>
  </si>
  <si>
    <t>Culvert appears very old and near end of life. Nice gravels upstream. Flow is moving between the two 1 m pipes. Trash rack on inlet would be barrier to coho moving up to spawn. 10:57</t>
  </si>
  <si>
    <t>11A Ave</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</si>
  <si>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</si>
  <si>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</si>
  <si>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</si>
  <si>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</si>
  <si>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</si>
  <si>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</si>
  <si>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</si>
  <si>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</si>
  <si>
    <t>Spur</t>
  </si>
  <si>
    <t>Pinenut Creek</t>
  </si>
  <si>
    <t xml:space="preserve">Structure was replaced in 1985. Concrete wing walls on inlet. Structure in decent shape. 13:39        </t>
  </si>
  <si>
    <t>Tributary to McCully Creek</t>
  </si>
  <si>
    <t>Trib to Sammon Lake</t>
  </si>
  <si>
    <t>Fish spotted downstream of culvert. 16:38</t>
  </si>
  <si>
    <t>Tributary to Nangeese River</t>
  </si>
  <si>
    <t xml:space="preserve">Hodder </t>
  </si>
  <si>
    <t>Trib to Cullon Creek</t>
  </si>
  <si>
    <t>Cullon Main</t>
  </si>
  <si>
    <t>Trib to Carrigan Creek</t>
  </si>
  <si>
    <t>Skeena Carrigan FSR</t>
  </si>
  <si>
    <t>Bridge is a little rotten but in ok shape. 14:11</t>
  </si>
  <si>
    <t>Kitwanga River</t>
  </si>
  <si>
    <t>Bridge, beautiful river. 14:18</t>
  </si>
  <si>
    <t>TP</t>
  </si>
  <si>
    <t>Henderson Creek</t>
  </si>
  <si>
    <t>AI JO</t>
  </si>
  <si>
    <t>Bridge. 16:06:47</t>
  </si>
  <si>
    <t>Bridge. 16:41:36</t>
  </si>
  <si>
    <t>Bridge. 16:51:49</t>
  </si>
  <si>
    <t>Deactivated spur road. Ford is not in the same position as shown on the map. 13:08</t>
  </si>
  <si>
    <t>TP VJ</t>
  </si>
  <si>
    <t>MW AI</t>
  </si>
  <si>
    <t>Bridge. 11:14:00</t>
  </si>
  <si>
    <t>Round culvert. 15:23:00</t>
  </si>
  <si>
    <t>Trib to Kitwanga river</t>
  </si>
  <si>
    <t>Highway 37</t>
  </si>
  <si>
    <t>White Swan Creek</t>
  </si>
  <si>
    <t>Tributary to Zymoetz River</t>
  </si>
  <si>
    <t>McDonnell Lake FSR</t>
  </si>
  <si>
    <t>2 culverts side by side, lots of beaver activity in the area. 14:23:18</t>
  </si>
  <si>
    <t>BCTS 8243</t>
  </si>
  <si>
    <t>MoTi  Local</t>
  </si>
  <si>
    <t>BCTS 8904</t>
  </si>
  <si>
    <t>Gitxsan Forest R02415</t>
  </si>
  <si>
    <t>MoF 7871</t>
  </si>
  <si>
    <t xml:space="preserve">MoTi  Highway </t>
  </si>
  <si>
    <t>MoF 9657</t>
  </si>
  <si>
    <t xml:space="preserve">MoTi  Arterial </t>
  </si>
  <si>
    <t>MoF 4841</t>
  </si>
  <si>
    <t>MoF 7552</t>
  </si>
  <si>
    <t>BCTS 10121</t>
  </si>
  <si>
    <t>Kispiox River Timber R11351</t>
  </si>
  <si>
    <t>MoF 8687</t>
  </si>
  <si>
    <t>Helen Lake Rd</t>
  </si>
  <si>
    <t>Kispiox Valley Rd</t>
  </si>
  <si>
    <t>Kispiox Westside Rd</t>
  </si>
  <si>
    <t>Moore Rd</t>
  </si>
  <si>
    <t>Mitten Mainline</t>
  </si>
  <si>
    <t>Sik e Dakh Water Tower Rd</t>
  </si>
  <si>
    <t>Seventeen Mile Rd</t>
  </si>
  <si>
    <t>Replace Structure with Streambed Simulation CBS</t>
  </si>
  <si>
    <t>Replace with New Open Bottom Structure</t>
  </si>
  <si>
    <t>skeena_2022_Phase1</t>
  </si>
  <si>
    <t>Skeena Watershed Fish Passage Restoration Planning 2022 - Phase 1</t>
  </si>
  <si>
    <t>00180607</t>
  </si>
  <si>
    <t>Al Irvine</t>
  </si>
  <si>
    <t>250-777-1518</t>
  </si>
  <si>
    <t>al@newgraphenvironment.com</t>
  </si>
  <si>
    <t>186987</t>
  </si>
  <si>
    <t>Cover Page</t>
  </si>
  <si>
    <t>The supplied value of '' is not valid for Funding Source Code. A Funding Source Code must be supplied from the provided list.</t>
  </si>
  <si>
    <t>PSCIS Images</t>
  </si>
  <si>
    <t>An error occured locating the image Folder C:\Users\matwi\Projects\repo\fish_passage_skeena_2022_reporting\data\8301039. This folder must be located in the same directory as this submission sheet, and have the same name as the project '8301039'. Please ensure this folder exists.</t>
  </si>
  <si>
    <t>An error occured locating the image Folder C:\Users\matwi\Projects\repo\fish_passage_skeena_2022_reporting\data\8302422. This folder must be located in the same directory as this submission sheet, and have the same name as the project '8302422'. Please ensure this folder exists.</t>
  </si>
  <si>
    <t>An error occured locating the image Folder C:\Users\matwi\Projects\repo\fish_passage_skeena_2022_reporting\data\8302064. This folder must be located in the same directory as this submission sheet, and have the same name as the project '8302064'. Please ensure this folder exists.</t>
  </si>
  <si>
    <t>An error occured locating the image Folder C:\Users\matwi\Projects\repo\fish_passage_skeena_2022_reporting\data\8302070. This folder must be located in the same directory as this submission sheet, and have the same name as the project '8302070'. Please ensure this folder exists.</t>
  </si>
  <si>
    <t>An error occured locating the image Folder C:\Users\matwi\Projects\repo\fish_passage_skeena_2022_reporting\data\8302074. This folder must be located in the same directory as this submission sheet, and have the same name as the project '8302074'. Please ensure this folder exists.</t>
  </si>
  <si>
    <t>The supplied value of '' is not valid for Downstream Channel Width. Downstream Channel Width must be supplied if the stream crossing type is Closed Bottom Structure. The value supplied must be &gt;= 0 and &lt;=50.</t>
  </si>
  <si>
    <t>An error occured locating the image Folder C:\Users\matwi\Projects\repo\fish_passage_skeena_2022_reporting\data\8300115. This folder must be located in the same directory as this submission sheet, and have the same name as the project '8300115'. Please ensure this folder exists.</t>
  </si>
  <si>
    <t>An error occured locating the image Folder C:\Users\matwi\Projects\repo\fish_passage_skeena_2022_reporting\data\8300162. This folder must be located in the same directory as this submission sheet, and have the same name as the project '8300162'. Please ensure this folder exists.</t>
  </si>
  <si>
    <t>An error occured locating the image Folder C:\Users\matwi\Projects\repo\fish_passage_skeena_2022_reporting\data\2798180. This folder must be located in the same directory as this submission sheet, and have the same name as the project '2798180'. Please ensure this folder exists.</t>
  </si>
  <si>
    <t>An error occured locating the image Folder C:\Users\matwi\Projects\repo\fish_passage_skeena_2022_reporting\data\8300161. This folder must be located in the same directory as this submission sheet, and have the same name as the project '8300161'. Please ensure this folder exists.</t>
  </si>
  <si>
    <t>An error occured locating the image Folder C:\Users\matwi\Projects\repo\fish_passage_skeena_2022_reporting\data\8300124. This folder must be located in the same directory as this submission sheet, and have the same name as the project '8300124'. Please ensure this folder exists.</t>
  </si>
  <si>
    <t>An error occured locating the image Folder C:\Users\matwi\Projects\repo\fish_passage_skeena_2022_reporting\data\8302683. This folder must be located in the same directory as this submission sheet, and have the same name as the project '8302683'. Please ensure this folder exists.</t>
  </si>
  <si>
    <t>An error occured locating the image Folder C:\Users\matwi\Projects\repo\fish_passage_skeena_2022_reporting\data\8302061. This folder must be located in the same directory as this submission sheet, and have the same name as the project '8302061'. Please ensure this folder exists.</t>
  </si>
  <si>
    <t>An error occured locating the image Folder C:\Users\matwi\Projects\repo\fish_passage_skeena_2022_reporting\data\8302062. This folder must be located in the same directory as this submission sheet, and have the same name as the project '8302062'. Please ensure this folder exists.</t>
  </si>
  <si>
    <t>An error occured locating the image Folder C:\Users\matwi\Projects\repo\fish_passage_skeena_2022_reporting\data\8301747. This folder must be located in the same directory as this submission sheet, and have the same name as the project '8301747'. Please ensure this folder exists.</t>
  </si>
  <si>
    <t>An error occured locating the image Folder C:\Users\matwi\Projects\repo\fish_passage_skeena_2022_reporting\data\8301750. This folder must be located in the same directory as this submission sheet, and have the same name as the project '8301750'. Please ensure this folder exists.</t>
  </si>
  <si>
    <t>An error occured locating the image Folder C:\Users\matwi\Projects\repo\fish_passage_skeena_2022_reporting\data\8301761. This folder must be located in the same directory as this submission sheet, and have the same name as the project '8301761'. Please ensure this folder exists.</t>
  </si>
  <si>
    <t>An error occured locating the image Folder C:\Users\matwi\Projects\repo\fish_passage_skeena_2022_reporting\data\8300186. This folder must be located in the same directory as this submission sheet, and have the same name as the project '8300186'. Please ensure this folder exists.</t>
  </si>
  <si>
    <t>An error occured locating the image Folder C:\Users\matwi\Projects\repo\fish_passage_skeena_2022_reporting\data\8300105. This folder must be located in the same directory as this submission sheet, and have the same name as the project '8300105'. Please ensure this folder exists.</t>
  </si>
  <si>
    <t>An error occured locating the image Folder C:\Users\matwi\Projects\repo\fish_passage_skeena_2022_reporting\data\8300104. This folder must be located in the same directory as this submission sheet, and have the same name as the project '8300104'. Please ensure this folder exists.</t>
  </si>
  <si>
    <t>An error occured locating the image Folder C:\Users\matwi\Projects\repo\fish_passage_skeena_2022_reporting\data\8300103. This folder must be located in the same directory as this submission sheet, and have the same name as the project '8300103'. Please ensure this folder exists.</t>
  </si>
  <si>
    <t>An error occured locating the image Folder C:\Users\matwi\Projects\repo\fish_passage_skeena_2022_reporting\data\8300012. This folder must be located in the same directory as this submission sheet, and have the same name as the project '8300012'. Please ensure this folder exists.</t>
  </si>
  <si>
    <t>An error occured locating the image Folder C:\Users\matwi\Projects\repo\fish_passage_skeena_2022_reporting\data\8300917. This folder must be located in the same directory as this submission sheet, and have the same name as the project '8300917'. Please ensure this folder exists.</t>
  </si>
  <si>
    <t>An error occured locating the image Folder C:\Users\matwi\Projects\repo\fish_passage_skeena_2022_reporting\data\8300188. This folder must be located in the same directory as this submission sheet, and have the same name as the project '8300188'. Please ensure this folder exists.</t>
  </si>
  <si>
    <t>An error occured locating the image Folder C:\Users\matwi\Projects\repo\fish_passage_skeena_2022_reporting\data\2022090901. This folder must be located in the same directory as this submission sheet, and have the same name as the project '2022090901'. Please ensure this folder exists.</t>
  </si>
  <si>
    <t>An error occured locating the image Folder C:\Users\matwi\Projects\repo\fish_passage_skeena_2022_reporting\data\8302421. This folder must be located in the same directory as this submission sheet, and have the same name as the project '8302421'. Please ensure this folder exists.</t>
  </si>
  <si>
    <t>An error occured locating the image Folder C:\Users\matwi\Projects\repo\fish_passage_skeena_2022_reporting\data\8302065. This folder must be located in the same directory as this submission sheet, and have the same name as the project '8302065'. Please ensure this folder exists.</t>
  </si>
  <si>
    <t>An error occured locating the image Folder C:\Users\matwi\Projects\repo\fish_passage_skeena_2022_reporting\data\8300118. This folder must be located in the same directory as this submission sheet, and have the same name as the project '8300118'. Please ensure this folder exists.</t>
  </si>
  <si>
    <t>An error occured locating the image Folder C:\Users\matwi\Projects\repo\fish_passage_skeena_2022_reporting\data\2022090501. This folder must be located in the same directory as this submission sheet, and have the same name as the project '2022090501'. Please ensure this folder exists.</t>
  </si>
  <si>
    <t>An error occured locating the image Folder C:\Users\matwi\Projects\repo\fish_passage_skeena_2022_reporting\data\8300030. This folder must be located in the same directory as this submission sheet, and have the same name as the project '8300030'. Please ensure this folder exists.</t>
  </si>
  <si>
    <t>An error occured locating the image Folder C:\Users\matwi\Projects\repo\fish_passage_skeena_2022_reporting\data\8300111. This folder must be located in the same directory as this submission sheet, and have the same name as the project '8300111'. Please ensure this folder exists.</t>
  </si>
  <si>
    <t>An error occured locating the image Folder C:\Users\matwi\Projects\repo\fish_passage_skeena_2022_reporting\data\8302403. This folder must be located in the same directory as this submission sheet, and have the same name as the project '8302403'. Please ensure this folder exists.</t>
  </si>
  <si>
    <t>An error occured locating the image Folder C:\Users\matwi\Projects\repo\fish_passage_skeena_2022_reporting\data\8302407. This folder must be located in the same directory as this submission sheet, and have the same name as the project '8302407'. Please ensure this folder exists.</t>
  </si>
  <si>
    <t>An error occured locating the image Folder C:\Users\matwi\Projects\repo\fish_passage_skeena_2022_reporting\data\8301754. This folder must be located in the same directory as this submission sheet, and have the same name as the project '8301754'. Please ensure this folder exists.</t>
  </si>
  <si>
    <t>An error occured locating the image Folder C:\Users\matwi\Projects\repo\fish_passage_skeena_2022_reporting\data\8301749. This folder must be located in the same directory as this submission sheet, and have the same name as the project '8301749'. Please ensure this folder exists.</t>
  </si>
  <si>
    <t>An error occured locating the image Folder C:\Users\matwi\Projects\repo\fish_passage_skeena_2022_reporting\data\8301748. This folder must be located in the same directory as this submission sheet, and have the same name as the project '8301748'. Please ensure this folder exists.</t>
  </si>
  <si>
    <t>An error occured locating the image Folder C:\Users\matwi\Projects\repo\fish_passage_skeena_2022_reporting\data\8300042. This folder must be located in the same directory as this submission sheet, and have the same name as the project '8300042'. Please ensure this folder exists.</t>
  </si>
  <si>
    <t>An error occured locating the image Folder C:\Users\matwi\Projects\repo\fish_passage_skeena_2022_reporting\data\8300054. This folder must be located in the same directory as this submission sheet, and have the same name as the project '8300054'. Please ensure this folder exists.</t>
  </si>
  <si>
    <t>An error occured locating the image Folder C:\Users\matwi\Projects\repo\fish_passage_skeena_2022_reporting\data\8301485. This folder must be located in the same directory as this submission sheet, and have the same name as the project '8301485'. Please ensure this folder exists.</t>
  </si>
  <si>
    <t>An error occured locating the image Folder C:\Users\matwi\Projects\repo\fish_passage_skeena_2022_reporting\data\2787053. This folder must be located in the same directory as this submission sheet, and have the same name as the project '2787053'. Please ensure this folder exists.</t>
  </si>
  <si>
    <t>An error occured locating the image Folder C:\Users\matwi\Projects\repo\fish_passage_skeena_2022_reporting\data\8300033. This folder must be located in the same directory as this submission sheet, and have the same name as the project '8300033'. Please ensure this folder exists.</t>
  </si>
  <si>
    <t>An error occured locating the image Folder C:\Users\matwi\Projects\repo\fish_passage_skeena_2022_reporting\data\8300095. This folder must be located in the same directory as this submission sheet, and have the same name as the project '8300095'. Please ensure this folder exists.</t>
  </si>
  <si>
    <t>An error occured locating the image Folder C:\Users\matwi\Projects\repo\fish_passage_skeena_2022_reporting\data\8300178. This folder must be located in the same directory as this submission sheet, and have the same name as the project '8300178'. Please ensure this folder exists.</t>
  </si>
  <si>
    <t>An error occured locating the image Folder C:\Users\matwi\Projects\repo\fish_passage_skeena_2022_reporting\data\8302257. This folder must be located in the same directory as this submission sheet, and have the same name as the project '8302257'. Please ensure this folder exists.</t>
  </si>
  <si>
    <t>An error occured locating the image Folder C:\Users\matwi\Projects\repo\fish_passage_skeena_2022_reporting\data\8300238. This folder must be located in the same directory as this submission sheet, and have the same name as the project '8300238'. Please ensure this folder exists.</t>
  </si>
  <si>
    <t>An error occured locating the image Folder C:\Users\matwi\Projects\repo\fish_passage_skeena_2022_reporting\data\4601067. This folder must be located in the same directory as this submission sheet, and have the same name as the project '4601067'. Please ensure this folder exists.</t>
  </si>
  <si>
    <t>An error occured locating the image Folder C:\Users\matwi\Projects\repo\fish_passage_skeena_2022_reporting\data\8300128. This folder must be located in the same directory as this submission sheet, and have the same name as the project '8300128'. Please ensure this folder exists.</t>
  </si>
  <si>
    <t>An error occured locating the image Folder C:\Users\matwi\Projects\repo\fish_passage_skeena_2022_reporting\data\4709789. This folder must be located in the same directory as this submission sheet, and have the same name as the project '4709789'. Please ensure this folder exists.</t>
  </si>
  <si>
    <t>An error occured locating the image Folder C:\Users\matwi\Projects\repo\fish_passage_skeena_2022_reporting\data\24709790. This folder must be located in the same directory as this submission sheet, and have the same name as the project '24709790'. Please ensure this folder exists.</t>
  </si>
  <si>
    <t>An error occured locating the image Folder C:\Users\matwi\Projects\repo\fish_passage_skeena_2022_reporting\data\8302244. This folder must be located in the same directory as this submission sheet, and have the same name as the project '8302244'. Please ensure this folder exists.</t>
  </si>
  <si>
    <t>An error occured locating the image Folder C:\Users\matwi\Projects\repo\fish_passage_skeena_2022_reporting\data\8300390. This folder must be located in the same directory as this submission sheet, and have the same name as the project '8300390'. Please ensure this folder exists.</t>
  </si>
  <si>
    <t>An error occured locating the image Folder C:\Users\matwi\Projects\repo\fish_passage_skeena_2022_reporting\data\8300108. This folder must be located in the same directory as this submission sheet, and have the same name as the project '8300108'. Please ensure this folder exists.</t>
  </si>
  <si>
    <t>An error occured locating the image Folder C:\Users\matwi\Projects\repo\fish_passage_skeena_2022_reporting\data\8302755. This folder must be located in the same directory as this submission sheet, and have the same name as the project '8302755'. Please ensure this folder exists.</t>
  </si>
  <si>
    <t>An error occured locating the image Folder C:\Users\matwi\Projects\repo\fish_passage_skeena_2022_reporting\data\8302410. This folder must be located in the same directory as this submission sheet, and have the same name as the project '8302410'. Please ensure this folder exists.</t>
  </si>
  <si>
    <t>An error occured locating the image Folder C:\Users\matwi\Projects\repo\fish_passage_skeena_2022_reporting\data\8302779. This folder must be located in the same directory as this submission sheet, and have the same name as the project '8302779'. Please ensure this folder exists.</t>
  </si>
  <si>
    <t>An error occured locating the image Folder C:\Users\matwi\Projects\repo\fish_passage_skeena_2022_reporting\data\8301892. This folder must be located in the same directory as this submission sheet, and have the same name as the project '8301892'. Please ensure this folder exists.</t>
  </si>
  <si>
    <t>An error occured locating the image Folder C:\Users\matwi\Projects\repo\fish_passage_skeena_2022_reporting\data\8302212. This folder must be located in the same directory as this submission sheet, and have the same name as the project '8302212'. Please ensure this folder exists.</t>
  </si>
  <si>
    <t>An error occured locating the image Folder C:\Users\matwi\Projects\repo\fish_passage_skeena_2022_reporting\data\8301994. This folder must be located in the same directory as this submission sheet, and have the same name as the project '8301994'. Please ensure this folder exists.</t>
  </si>
  <si>
    <t>An error occured locating the image Folder C:\Users\matwi\Projects\repo\fish_passage_skeena_2022_reporting\data\4600909. This folder must be located in the same directory as this submission sheet, and have the same name as the project '4600909'. Please ensure this folder exists.</t>
  </si>
  <si>
    <t>An error occured locating the image Folder C:\Users\matwi\Projects\repo\fish_passage_skeena_2022_reporting\data\4600907. This folder must be located in the same directory as this submission sheet, and have the same name as the project '4600907'. Please ensure this folder exists.</t>
  </si>
  <si>
    <t>An error occured locating the image Folder C:\Users\matwi\Projects\repo\fish_passage_skeena_2022_reporting\data\4742005. This folder must be located in the same directory as this submission sheet, and have the same name as the project '4742005'. Please ensure this folder exists.</t>
  </si>
  <si>
    <t>An error occured locating the image Folder C:\Users\matwi\Projects\repo\fish_passage_skeena_2022_reporting\data\8300090. This folder must be located in the same directory as this submission sheet, and have the same name as the project '8300090'. Please ensure this folder exists.</t>
  </si>
  <si>
    <t>Hankin FSR</t>
  </si>
  <si>
    <t>Resource</t>
  </si>
  <si>
    <t>Unclassified</t>
  </si>
  <si>
    <t>Drains Pentz Lake, mostly dewatered. Dawson may have replaced this crossing in fall of 2022 (pers comm Greg Black - project manager Dawson Road Maintenance). 15:22</t>
  </si>
  <si>
    <t>MoTi Unclassified</t>
  </si>
  <si>
    <t>Sik e Dakh</t>
  </si>
  <si>
    <t>Big outlet drop with deep outlet pool. Some rusting in culvert and it's bent slightly in the middle. 12:22</t>
  </si>
  <si>
    <t>Drains Pentz Lake.  Not a modelled crossing. Some backwater, not a lot of flow. Dawson may have replaced this crossing in fall of 2022 (pers comm Greg Black - project manager Dawson Road Maintenance). 15:39</t>
  </si>
  <si>
    <t xml:space="preserve">Road has been deactivated with crossing pulled. Lots of flow. 12:04       </t>
  </si>
  <si>
    <t xml:space="preserve">No structure visible. Beaver ponds on both sides of the road. Diameter estimated. Large mature beaver dam located approximately 10 m downstream of road. 10:56    </t>
  </si>
  <si>
    <t>Pentz Lake is located approximately 50 m upstream. Inlet of culvert is significantly damaged with metal that in words. Culvert is separating approximately halfway through the pipe. Pipe is quite corroded. Pentz Lake rec site is located approximately 2 to 300 m up the road. 15:30</t>
  </si>
  <si>
    <t xml:space="preserve">Dry at time of survey. Significant moss on rocks throughout channel indicates dry for a good portion of the year. Culvert is perched 3 m from stream channel with outlet emptying onto riprap. Culvert is bent severely in middle. 16:03     </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</si>
  <si>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</si>
  <si>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This is a small non-classified drainage. Culvert is completely plugged and inlet could not be located. Outlet of culvert is severely corroded. Very unlikely that this is a fish bearing system.   Culvert slope, channel with, ingredient estimated. 14:39</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</si>
  <si>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</si>
  <si>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has 50% blocked outlet. 9:32</t>
  </si>
  <si>
    <t xml:space="preserve">Francis( chief) indicated this is historic coho harvest and spawning stream. 2 active culverts side by side. Trash rack has been removed from inlet. Inlet has significant amount of debris. Extensive gravels present suitable for coho spawning. Good flow and large stream. On road to water treatment plant within reserve boundaries. 12:20 </t>
  </si>
  <si>
    <t>Culvert has had recent roadwork with significant amounts of fill added. Stream is running clear upstream of the culvert and is extremely turbid downstream due to erosion and runoff related to the construction to fix the road. Inlet of culvert is bent and damaged with a lot of debris at the top end of the pipe blocking significant portions of the flow. Not a modelled crossing location in bcfishpass but is a documented Moti culvert. 16:33</t>
  </si>
  <si>
    <t>Wetland upstream. Debris cone on inlet has separated from the culvert. Large inlet drop due to the debris caught in the inlet. 17:14</t>
  </si>
  <si>
    <t>Historic backwatering with 6 downstream lock block weirs. Skeena Fisheries Commission has assessed site in past. Very large system, pipe embedded until last 10m. Large outlet drop. Lots of algae. 10:46</t>
  </si>
  <si>
    <t>There are actually two pipes that are 0.65 cm. One pipe has an extension into the beaver dam located immediately upstream of the inlet. This stream is not at the map location as it is located upstream via the Kitwanga River approximately 250 m. 12:14</t>
  </si>
  <si>
    <t xml:space="preserve">Collapsed bridge. Some erosion along side but not fish passage issue. 14:04      </t>
  </si>
  <si>
    <t xml:space="preserve">Bridge. Road fairly brushed in. 13:03          </t>
  </si>
  <si>
    <t>Bridge. Stream bed is dry at time of assessment. 18:33</t>
  </si>
  <si>
    <t>Bridge with very deep fill. Approx. 10cm between water and bottom of bridge. 15:38</t>
  </si>
  <si>
    <t>Culvert embedded resembles stream. UTM corrected as is approximately 100m down road from modelled location. 12:25</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</si>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</sst>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xf numFmtId="21" fontId="0" fillId="0" borderId="0" xfId="0"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150" zoomScaleNormal="100" workbookViewId="0">
      <selection activeCell="B18" sqref="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217</v>
      </c>
    </row>
    <row r="5" spans="1:20">
      <c r="A5" s="4" t="s">
        <v>58</v>
      </c>
      <c r="B5" t="s">
        <v>218</v>
      </c>
    </row>
    <row r="6" spans="1:20">
      <c r="A6" s="4"/>
      <c r="B6" s="10"/>
    </row>
    <row r="7" spans="1:20">
      <c r="A7" s="4" t="s">
        <v>86</v>
      </c>
      <c r="B7" s="83" t="s">
        <v>219</v>
      </c>
    </row>
    <row r="8" spans="1:20">
      <c r="A8" s="4" t="s">
        <v>73</v>
      </c>
      <c r="B8" t="s">
        <v>220</v>
      </c>
    </row>
    <row r="9" spans="1:20">
      <c r="A9" s="4" t="s">
        <v>74</v>
      </c>
      <c r="B9" t="s">
        <v>221</v>
      </c>
    </row>
    <row r="10" spans="1:20">
      <c r="A10" s="4" t="s">
        <v>75</v>
      </c>
      <c r="B10" s="84" t="s">
        <v>222</v>
      </c>
    </row>
    <row r="11" spans="1:20">
      <c r="A11" s="4"/>
      <c r="B11" s="10"/>
    </row>
    <row r="12" spans="1:20">
      <c r="A12" s="4" t="s">
        <v>36</v>
      </c>
      <c r="B12" s="83" t="s">
        <v>223</v>
      </c>
    </row>
    <row r="13" spans="1:20">
      <c r="A13" s="4" t="s">
        <v>37</v>
      </c>
      <c r="B13" t="s">
        <v>220</v>
      </c>
    </row>
    <row r="14" spans="1:20">
      <c r="A14" s="4" t="s">
        <v>38</v>
      </c>
      <c r="B14" t="s">
        <v>221</v>
      </c>
    </row>
    <row r="15" spans="1:20">
      <c r="A15" s="4" t="s">
        <v>39</v>
      </c>
      <c r="B15" s="84" t="s">
        <v>222</v>
      </c>
    </row>
    <row r="16" spans="1:20">
      <c r="A16" s="4"/>
      <c r="B16" s="10"/>
    </row>
    <row r="17" spans="1:2">
      <c r="A17" s="4" t="s">
        <v>40</v>
      </c>
      <c r="B17">
        <v>40000</v>
      </c>
    </row>
    <row r="18" spans="1:2">
      <c r="A18" s="4" t="s">
        <v>41</v>
      </c>
      <c r="B18" t="s">
        <v>315</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A78D5CD5-4583-4633-84FD-6A55F06CC6E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90" zoomScaleNormal="90" workbookViewId="0">
      <pane ySplit="4" topLeftCell="A52" activePane="bottomLeft" state="frozen"/>
      <selection pane="bottomLeft" activeCell="O65" sqref="A65:XFD6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44809</v>
      </c>
      <c r="C5" s="10">
        <v>8301039</v>
      </c>
      <c r="D5" s="10" t="s">
        <v>93</v>
      </c>
      <c r="E5" s="11">
        <v>9</v>
      </c>
      <c r="F5" s="39">
        <v>567730</v>
      </c>
      <c r="G5" s="39">
        <v>6152762</v>
      </c>
      <c r="H5" s="11" t="s">
        <v>100</v>
      </c>
      <c r="I5" s="11" t="s">
        <v>94</v>
      </c>
      <c r="J5" s="33"/>
      <c r="K5" s="11" t="s">
        <v>195</v>
      </c>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97</v>
      </c>
    </row>
    <row r="6" spans="1:42" ht="16">
      <c r="A6" s="59">
        <v>44809</v>
      </c>
      <c r="C6" s="10">
        <v>8302422</v>
      </c>
      <c r="D6" s="10" t="s">
        <v>93</v>
      </c>
      <c r="E6" s="11">
        <v>9</v>
      </c>
      <c r="F6" s="39">
        <v>568047</v>
      </c>
      <c r="G6" s="39">
        <v>6152961</v>
      </c>
      <c r="H6" s="10" t="s">
        <v>100</v>
      </c>
      <c r="I6" s="11" t="s">
        <v>94</v>
      </c>
      <c r="J6" s="33">
        <v>1.9</v>
      </c>
      <c r="K6" s="10" t="s">
        <v>195</v>
      </c>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106</v>
      </c>
    </row>
    <row r="7" spans="1:42" ht="16">
      <c r="A7" s="59">
        <v>44809</v>
      </c>
      <c r="C7" s="10">
        <v>8302064</v>
      </c>
      <c r="D7" s="10" t="s">
        <v>93</v>
      </c>
      <c r="E7" s="11">
        <v>9</v>
      </c>
      <c r="F7" s="39">
        <v>567986</v>
      </c>
      <c r="G7" s="39">
        <v>6151778</v>
      </c>
      <c r="H7" s="10" t="s">
        <v>100</v>
      </c>
      <c r="I7" s="11" t="s">
        <v>208</v>
      </c>
      <c r="J7" s="33">
        <v>9.9</v>
      </c>
      <c r="K7" s="10" t="s">
        <v>195</v>
      </c>
      <c r="L7" s="10" t="s">
        <v>98</v>
      </c>
      <c r="M7" s="10" t="s">
        <v>103</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104</v>
      </c>
      <c r="AE7" s="10" t="s">
        <v>105</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N7" s="10" t="s">
        <v>215</v>
      </c>
      <c r="AO7" s="10">
        <v>3</v>
      </c>
      <c r="AP7" s="10" t="s">
        <v>107</v>
      </c>
    </row>
    <row r="8" spans="1:42" ht="16">
      <c r="A8" s="59">
        <v>44809</v>
      </c>
      <c r="B8" s="82"/>
      <c r="C8" s="10">
        <v>8302070</v>
      </c>
      <c r="D8" s="10" t="s">
        <v>93</v>
      </c>
      <c r="E8" s="11">
        <v>9</v>
      </c>
      <c r="F8" s="39">
        <v>570210.42079999996</v>
      </c>
      <c r="G8" s="39">
        <v>6150339.8130000001</v>
      </c>
      <c r="H8" s="10" t="s">
        <v>100</v>
      </c>
      <c r="I8" s="11" t="s">
        <v>208</v>
      </c>
      <c r="J8" s="79"/>
      <c r="K8" s="81" t="s">
        <v>195</v>
      </c>
      <c r="L8" s="10" t="s">
        <v>98</v>
      </c>
      <c r="M8" s="10" t="s">
        <v>103</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104</v>
      </c>
      <c r="AE8" s="10" t="s">
        <v>105</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N8" s="10" t="s">
        <v>216</v>
      </c>
      <c r="AO8" s="10">
        <v>10</v>
      </c>
      <c r="AP8" s="10" t="s">
        <v>295</v>
      </c>
    </row>
    <row r="9" spans="1:42" ht="16">
      <c r="A9" s="59">
        <v>44809</v>
      </c>
      <c r="C9" s="10">
        <v>8302074</v>
      </c>
      <c r="D9" s="10" t="s">
        <v>93</v>
      </c>
      <c r="E9" s="11">
        <v>9</v>
      </c>
      <c r="F9" s="39">
        <v>570565.80189999996</v>
      </c>
      <c r="G9" s="39">
        <v>6150060.023</v>
      </c>
      <c r="H9" s="10" t="s">
        <v>100</v>
      </c>
      <c r="I9" s="11" t="s">
        <v>208</v>
      </c>
      <c r="J9" s="33"/>
      <c r="K9" s="81" t="s">
        <v>195</v>
      </c>
      <c r="L9" s="10" t="s">
        <v>98</v>
      </c>
      <c r="M9" s="10" t="s">
        <v>103</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104</v>
      </c>
      <c r="AE9" s="10" t="s">
        <v>108</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N9" s="10" t="s">
        <v>215</v>
      </c>
      <c r="AO9" s="10">
        <v>3</v>
      </c>
      <c r="AP9" s="10" t="s">
        <v>109</v>
      </c>
    </row>
    <row r="10" spans="1:42" ht="16">
      <c r="A10" s="59">
        <v>44809</v>
      </c>
      <c r="C10" s="10">
        <v>8300115</v>
      </c>
      <c r="D10" s="10" t="s">
        <v>93</v>
      </c>
      <c r="E10" s="11">
        <v>9</v>
      </c>
      <c r="F10" s="39">
        <v>574866.26289999997</v>
      </c>
      <c r="G10" s="39">
        <v>6149021.1509999996</v>
      </c>
      <c r="H10" s="78" t="s">
        <v>110</v>
      </c>
      <c r="I10" s="11" t="s">
        <v>208</v>
      </c>
      <c r="J10" s="33"/>
      <c r="K10" s="10" t="s">
        <v>196</v>
      </c>
      <c r="L10" s="10" t="s">
        <v>98</v>
      </c>
      <c r="M10" s="10" t="s">
        <v>103</v>
      </c>
      <c r="N10" s="21">
        <v>0.7</v>
      </c>
      <c r="O10" s="21">
        <v>11</v>
      </c>
      <c r="P10" s="10" t="s">
        <v>96</v>
      </c>
      <c r="Q10" s="88"/>
      <c r="R10" s="10" t="s">
        <v>96</v>
      </c>
      <c r="S10" s="10" t="s">
        <v>96</v>
      </c>
      <c r="T10" s="88"/>
      <c r="U10" s="21">
        <v>0.3</v>
      </c>
      <c r="V10" s="10">
        <v>0</v>
      </c>
      <c r="W10" s="21">
        <v>0</v>
      </c>
      <c r="X10" s="10" t="s">
        <v>96</v>
      </c>
      <c r="Y10" s="21">
        <v>2</v>
      </c>
      <c r="AA10" s="10">
        <v>1</v>
      </c>
      <c r="AB10" s="10" t="s">
        <v>96</v>
      </c>
      <c r="AC10" s="10" t="s">
        <v>96</v>
      </c>
      <c r="AD10" s="10" t="s">
        <v>104</v>
      </c>
      <c r="AE10" s="10" t="s">
        <v>108</v>
      </c>
      <c r="AF10" s="20">
        <f t="shared" si="0"/>
        <v>0</v>
      </c>
      <c r="AG10" s="13">
        <f t="shared" si="1"/>
        <v>0</v>
      </c>
      <c r="AH10" s="7">
        <f t="shared" si="2"/>
        <v>10</v>
      </c>
      <c r="AI10" s="7">
        <f t="shared" si="3"/>
        <v>0</v>
      </c>
      <c r="AJ10" s="7">
        <f t="shared" si="4"/>
        <v>5</v>
      </c>
      <c r="AK10" s="7">
        <f t="shared" si="5"/>
        <v>0</v>
      </c>
      <c r="AL10" s="12">
        <f t="shared" si="6"/>
        <v>15</v>
      </c>
      <c r="AM10" s="14" t="str">
        <f t="shared" si="7"/>
        <v>Potential</v>
      </c>
      <c r="AN10" s="10" t="s">
        <v>215</v>
      </c>
      <c r="AO10" s="21">
        <v>3</v>
      </c>
      <c r="AP10" s="10" t="s">
        <v>111</v>
      </c>
    </row>
    <row r="11" spans="1:42" ht="32">
      <c r="A11" s="59">
        <v>44809</v>
      </c>
      <c r="C11" s="78">
        <v>8300162</v>
      </c>
      <c r="D11" s="10" t="s">
        <v>93</v>
      </c>
      <c r="E11" s="11">
        <v>9</v>
      </c>
      <c r="F11" s="80">
        <v>573033.22470000002</v>
      </c>
      <c r="G11" s="80">
        <v>6151996.9409999996</v>
      </c>
      <c r="H11" s="11" t="s">
        <v>100</v>
      </c>
      <c r="I11" s="11" t="s">
        <v>144</v>
      </c>
      <c r="J11" s="33"/>
      <c r="K11" s="10" t="s">
        <v>196</v>
      </c>
      <c r="L11" s="10" t="s">
        <v>98</v>
      </c>
      <c r="M11" s="10" t="s">
        <v>103</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104</v>
      </c>
      <c r="AE11" s="10" t="s">
        <v>108</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N11" s="10" t="s">
        <v>215</v>
      </c>
      <c r="AO11" s="10">
        <v>3</v>
      </c>
      <c r="AP11" s="10" t="s">
        <v>292</v>
      </c>
    </row>
    <row r="12" spans="1:42" ht="32">
      <c r="A12" s="59">
        <v>44809</v>
      </c>
      <c r="C12" s="10">
        <v>2798180</v>
      </c>
      <c r="D12" s="10" t="s">
        <v>93</v>
      </c>
      <c r="E12" s="11">
        <v>9</v>
      </c>
      <c r="F12" s="39">
        <v>573036.04639999999</v>
      </c>
      <c r="G12" s="39">
        <v>6151831.1710000001</v>
      </c>
      <c r="H12" s="11" t="s">
        <v>100</v>
      </c>
      <c r="I12" s="11" t="s">
        <v>144</v>
      </c>
      <c r="J12" s="33"/>
      <c r="K12" s="11" t="s">
        <v>196</v>
      </c>
      <c r="L12" s="10" t="s">
        <v>98</v>
      </c>
      <c r="M12" s="10" t="s">
        <v>103</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104</v>
      </c>
      <c r="AE12" s="10" t="s">
        <v>108</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10" t="s">
        <v>216</v>
      </c>
      <c r="AO12" s="21">
        <v>10</v>
      </c>
      <c r="AP12" s="10" t="s">
        <v>296</v>
      </c>
    </row>
    <row r="13" spans="1:42" ht="32">
      <c r="A13" s="59">
        <v>44809</v>
      </c>
      <c r="C13" s="10">
        <v>8300161</v>
      </c>
      <c r="D13" s="10" t="s">
        <v>93</v>
      </c>
      <c r="E13" s="11">
        <v>9</v>
      </c>
      <c r="F13" s="39">
        <v>575069.51780000003</v>
      </c>
      <c r="G13" s="39">
        <v>6150345.2690000003</v>
      </c>
      <c r="H13" s="11" t="s">
        <v>100</v>
      </c>
      <c r="I13" s="11" t="s">
        <v>144</v>
      </c>
      <c r="K13" s="11" t="s">
        <v>196</v>
      </c>
      <c r="L13" s="10" t="s">
        <v>98</v>
      </c>
      <c r="M13" s="10" t="s">
        <v>103</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104</v>
      </c>
      <c r="AE13" s="10" t="s">
        <v>108</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N13" s="10" t="s">
        <v>216</v>
      </c>
      <c r="AO13" s="21">
        <v>10</v>
      </c>
      <c r="AP13" s="10" t="s">
        <v>112</v>
      </c>
    </row>
    <row r="14" spans="1:42" ht="32">
      <c r="A14" s="59">
        <v>44810</v>
      </c>
      <c r="C14" s="10">
        <v>8300124</v>
      </c>
      <c r="D14" s="10" t="s">
        <v>186</v>
      </c>
      <c r="E14" s="11">
        <v>9</v>
      </c>
      <c r="F14" s="39">
        <v>533805.93259999994</v>
      </c>
      <c r="G14" s="39">
        <v>6176387.0520000001</v>
      </c>
      <c r="H14" s="11" t="s">
        <v>113</v>
      </c>
      <c r="I14" s="11" t="s">
        <v>209</v>
      </c>
      <c r="K14" s="11" t="s">
        <v>196</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297</v>
      </c>
    </row>
    <row r="15" spans="1:42" ht="16">
      <c r="A15" s="59">
        <v>44810</v>
      </c>
      <c r="C15" s="10">
        <v>8302683</v>
      </c>
      <c r="D15" s="10" t="s">
        <v>93</v>
      </c>
      <c r="E15" s="11">
        <v>9</v>
      </c>
      <c r="F15" s="39">
        <v>541972.93279999995</v>
      </c>
      <c r="G15" s="39">
        <v>6174712.2010000004</v>
      </c>
      <c r="H15" s="11" t="s">
        <v>114</v>
      </c>
      <c r="I15" s="11" t="s">
        <v>115</v>
      </c>
      <c r="K15" s="11" t="s">
        <v>197</v>
      </c>
      <c r="L15" s="10" t="s">
        <v>98</v>
      </c>
      <c r="M15" s="10" t="s">
        <v>103</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104</v>
      </c>
      <c r="AE15" s="10" t="s">
        <v>108</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N15" s="10" t="s">
        <v>215</v>
      </c>
      <c r="AO15" s="21">
        <v>3</v>
      </c>
      <c r="AP15" s="10" t="s">
        <v>116</v>
      </c>
    </row>
    <row r="16" spans="1:42" ht="32">
      <c r="A16" s="59">
        <v>44810</v>
      </c>
      <c r="C16" s="10">
        <v>8302061</v>
      </c>
      <c r="D16" s="10" t="s">
        <v>93</v>
      </c>
      <c r="E16" s="11">
        <v>9</v>
      </c>
      <c r="F16" s="39">
        <v>554147.7879</v>
      </c>
      <c r="G16" s="39">
        <v>6166257.2560000001</v>
      </c>
      <c r="H16" s="11" t="s">
        <v>100</v>
      </c>
      <c r="I16" s="11" t="s">
        <v>117</v>
      </c>
      <c r="K16" s="11" t="s">
        <v>198</v>
      </c>
      <c r="L16" s="10" t="s">
        <v>98</v>
      </c>
      <c r="M16" s="10" t="s">
        <v>103</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104</v>
      </c>
      <c r="AE16" s="10" t="s">
        <v>105</v>
      </c>
      <c r="AF16" s="20">
        <f t="shared" si="8"/>
        <v>3</v>
      </c>
      <c r="AG16" s="13">
        <f t="shared" si="1"/>
        <v>0</v>
      </c>
      <c r="AH16" s="7">
        <f t="shared" si="2"/>
        <v>10</v>
      </c>
      <c r="AI16" s="7">
        <f t="shared" si="3"/>
        <v>5</v>
      </c>
      <c r="AJ16" s="7">
        <f t="shared" si="4"/>
        <v>10</v>
      </c>
      <c r="AK16" s="7">
        <f t="shared" si="5"/>
        <v>6</v>
      </c>
      <c r="AL16" s="12">
        <f t="shared" si="9"/>
        <v>31</v>
      </c>
      <c r="AM16" s="14" t="str">
        <f t="shared" si="7"/>
        <v>Barrier</v>
      </c>
      <c r="AN16" s="10" t="s">
        <v>215</v>
      </c>
      <c r="AO16" s="21">
        <v>3</v>
      </c>
      <c r="AP16" s="10" t="s">
        <v>118</v>
      </c>
    </row>
    <row r="17" spans="1:42" ht="32">
      <c r="A17" s="59">
        <v>44810</v>
      </c>
      <c r="C17" s="10">
        <v>8302062</v>
      </c>
      <c r="D17" s="10" t="s">
        <v>93</v>
      </c>
      <c r="E17" s="11">
        <v>9</v>
      </c>
      <c r="F17" s="39">
        <v>554493.42290000001</v>
      </c>
      <c r="G17" s="39">
        <v>6166450.3210000005</v>
      </c>
      <c r="H17" s="11" t="s">
        <v>100</v>
      </c>
      <c r="I17" s="11" t="s">
        <v>117</v>
      </c>
      <c r="K17" s="11" t="s">
        <v>198</v>
      </c>
      <c r="L17" s="10" t="s">
        <v>98</v>
      </c>
      <c r="M17" s="10" t="s">
        <v>103</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104</v>
      </c>
      <c r="AE17" s="10" t="s">
        <v>108</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N17" s="10" t="s">
        <v>215</v>
      </c>
      <c r="AO17" s="21">
        <v>3</v>
      </c>
      <c r="AP17" s="10" t="s">
        <v>119</v>
      </c>
    </row>
    <row r="18" spans="1:42" ht="32">
      <c r="A18" s="59">
        <v>44811</v>
      </c>
      <c r="C18" s="10">
        <v>8301747</v>
      </c>
      <c r="D18" s="10" t="s">
        <v>93</v>
      </c>
      <c r="E18" s="11">
        <v>9</v>
      </c>
      <c r="F18" s="39">
        <v>563272.94649999996</v>
      </c>
      <c r="G18" s="39">
        <v>6170770.1799999997</v>
      </c>
      <c r="H18" s="11" t="s">
        <v>121</v>
      </c>
      <c r="I18" s="11" t="s">
        <v>120</v>
      </c>
      <c r="K18" s="11" t="s">
        <v>199</v>
      </c>
      <c r="L18" s="10" t="s">
        <v>98</v>
      </c>
      <c r="M18" s="10" t="s">
        <v>103</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104</v>
      </c>
      <c r="AE18" s="10" t="s">
        <v>108</v>
      </c>
      <c r="AF18" s="20">
        <f t="shared" si="8"/>
        <v>1.5</v>
      </c>
      <c r="AG18" s="13">
        <f t="shared" si="1"/>
        <v>0</v>
      </c>
      <c r="AH18" s="7">
        <f t="shared" si="2"/>
        <v>10</v>
      </c>
      <c r="AI18" s="7">
        <f t="shared" si="3"/>
        <v>10</v>
      </c>
      <c r="AJ18" s="7">
        <f t="shared" si="4"/>
        <v>10</v>
      </c>
      <c r="AK18" s="7">
        <f t="shared" si="5"/>
        <v>6</v>
      </c>
      <c r="AL18" s="12">
        <f t="shared" si="9"/>
        <v>36</v>
      </c>
      <c r="AM18" s="14" t="str">
        <f t="shared" si="7"/>
        <v>Barrier</v>
      </c>
      <c r="AN18" s="10" t="s">
        <v>215</v>
      </c>
      <c r="AO18" s="21">
        <v>3</v>
      </c>
      <c r="AP18" s="10" t="s">
        <v>122</v>
      </c>
    </row>
    <row r="19" spans="1:42" ht="32">
      <c r="A19" s="59">
        <v>44811</v>
      </c>
      <c r="C19" s="10">
        <v>8301750</v>
      </c>
      <c r="D19" s="10" t="s">
        <v>93</v>
      </c>
      <c r="E19" s="11">
        <v>9</v>
      </c>
      <c r="F19" s="39">
        <v>563429.41749999998</v>
      </c>
      <c r="G19" s="39">
        <v>6170437.2060000002</v>
      </c>
      <c r="H19" s="11" t="s">
        <v>121</v>
      </c>
      <c r="I19" s="11" t="s">
        <v>120</v>
      </c>
      <c r="J19" s="33">
        <v>15.1</v>
      </c>
      <c r="K19" s="11" t="s">
        <v>199</v>
      </c>
      <c r="L19" s="10" t="s">
        <v>98</v>
      </c>
      <c r="M19" s="10" t="s">
        <v>103</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104</v>
      </c>
      <c r="AE19" s="10" t="s">
        <v>105</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N19" s="10" t="s">
        <v>215</v>
      </c>
      <c r="AO19" s="21">
        <v>3</v>
      </c>
      <c r="AP19" s="10" t="s">
        <v>123</v>
      </c>
    </row>
    <row r="20" spans="1:42" ht="32">
      <c r="A20" s="59">
        <v>44811</v>
      </c>
      <c r="C20" s="10">
        <v>8301761</v>
      </c>
      <c r="D20" s="10" t="s">
        <v>93</v>
      </c>
      <c r="E20" s="11">
        <v>9</v>
      </c>
      <c r="F20" s="39">
        <v>563960.53220000002</v>
      </c>
      <c r="G20" s="39">
        <v>6165290.9079999998</v>
      </c>
      <c r="H20" s="11" t="s">
        <v>121</v>
      </c>
      <c r="I20" s="11" t="s">
        <v>120</v>
      </c>
      <c r="J20" s="33"/>
      <c r="K20" s="11" t="s">
        <v>199</v>
      </c>
      <c r="L20" s="10" t="s">
        <v>98</v>
      </c>
      <c r="M20" s="10" t="s">
        <v>103</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104</v>
      </c>
      <c r="AE20" s="10" t="s">
        <v>108</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N20" s="10" t="s">
        <v>215</v>
      </c>
      <c r="AO20" s="10">
        <v>3</v>
      </c>
      <c r="AP20" s="10" t="s">
        <v>124</v>
      </c>
    </row>
    <row r="21" spans="1:42">
      <c r="A21" s="59">
        <v>44812</v>
      </c>
      <c r="C21" s="10">
        <v>8300186</v>
      </c>
      <c r="D21" s="10" t="s">
        <v>93</v>
      </c>
      <c r="E21" s="10">
        <v>9</v>
      </c>
      <c r="F21" s="21">
        <v>581810.45550000004</v>
      </c>
      <c r="G21" s="21">
        <v>6137777.7019999996</v>
      </c>
      <c r="H21" s="10" t="s">
        <v>100</v>
      </c>
      <c r="I21" s="10" t="s">
        <v>210</v>
      </c>
      <c r="J21" s="33">
        <v>3.9</v>
      </c>
      <c r="K21" s="10" t="s">
        <v>196</v>
      </c>
      <c r="L21" s="10" t="s">
        <v>98</v>
      </c>
      <c r="M21" s="10" t="s">
        <v>103</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104</v>
      </c>
      <c r="AE21" s="10" t="s">
        <v>108</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N21" s="10" t="s">
        <v>216</v>
      </c>
      <c r="AO21" s="21">
        <v>10</v>
      </c>
      <c r="AP21" s="10" t="s">
        <v>125</v>
      </c>
    </row>
    <row r="22" spans="1:42" ht="16">
      <c r="A22" s="59">
        <v>44812</v>
      </c>
      <c r="C22" s="10">
        <v>8300105</v>
      </c>
      <c r="D22" s="10" t="s">
        <v>93</v>
      </c>
      <c r="E22" s="11">
        <v>9</v>
      </c>
      <c r="F22" s="39">
        <v>578249.7291</v>
      </c>
      <c r="G22" s="39">
        <v>6150754.466</v>
      </c>
      <c r="H22" s="10" t="s">
        <v>100</v>
      </c>
      <c r="I22" s="11" t="s">
        <v>209</v>
      </c>
      <c r="K22" s="11" t="s">
        <v>196</v>
      </c>
      <c r="L22" s="10" t="s">
        <v>98</v>
      </c>
      <c r="M22" s="10" t="s">
        <v>103</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104</v>
      </c>
      <c r="AE22" s="10" t="s">
        <v>108</v>
      </c>
      <c r="AF22" s="20">
        <f t="shared" si="8"/>
        <v>2</v>
      </c>
      <c r="AG22" s="13">
        <f t="shared" si="1"/>
        <v>0</v>
      </c>
      <c r="AH22" s="7">
        <f t="shared" si="2"/>
        <v>10</v>
      </c>
      <c r="AI22" s="7">
        <f t="shared" si="3"/>
        <v>10</v>
      </c>
      <c r="AJ22" s="7">
        <f t="shared" si="4"/>
        <v>5</v>
      </c>
      <c r="AK22" s="7">
        <f t="shared" si="5"/>
        <v>6</v>
      </c>
      <c r="AL22" s="12">
        <f t="shared" si="9"/>
        <v>31</v>
      </c>
      <c r="AM22" s="14" t="str">
        <f t="shared" si="7"/>
        <v>Barrier</v>
      </c>
      <c r="AN22" s="10" t="s">
        <v>215</v>
      </c>
      <c r="AO22" s="21">
        <v>3</v>
      </c>
      <c r="AP22" s="10" t="s">
        <v>126</v>
      </c>
    </row>
    <row r="23" spans="1:42" ht="16">
      <c r="A23" s="59">
        <v>44812</v>
      </c>
      <c r="C23" s="10">
        <v>8300104</v>
      </c>
      <c r="D23" s="10" t="s">
        <v>93</v>
      </c>
      <c r="E23" s="11">
        <v>9</v>
      </c>
      <c r="F23" s="39">
        <v>579148.46010000003</v>
      </c>
      <c r="G23" s="39">
        <v>6149784.1529999999</v>
      </c>
      <c r="H23" s="10" t="s">
        <v>100</v>
      </c>
      <c r="I23" s="11" t="s">
        <v>209</v>
      </c>
      <c r="K23" s="11" t="s">
        <v>196</v>
      </c>
      <c r="L23" s="10" t="s">
        <v>98</v>
      </c>
      <c r="M23" s="10" t="s">
        <v>103</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104</v>
      </c>
      <c r="AE23" s="10" t="s">
        <v>108</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N23" s="10" t="s">
        <v>215</v>
      </c>
      <c r="AO23" s="21">
        <v>3</v>
      </c>
      <c r="AP23" s="10" t="s">
        <v>127</v>
      </c>
    </row>
    <row r="24" spans="1:42" ht="16">
      <c r="A24" s="59">
        <v>44812</v>
      </c>
      <c r="C24" s="10">
        <v>8300103</v>
      </c>
      <c r="D24" s="10" t="s">
        <v>93</v>
      </c>
      <c r="E24" s="11">
        <v>9</v>
      </c>
      <c r="F24" s="39">
        <v>580494.92260000005</v>
      </c>
      <c r="G24" s="39">
        <v>6146060.8380000005</v>
      </c>
      <c r="H24" s="10" t="s">
        <v>100</v>
      </c>
      <c r="I24" s="11" t="s">
        <v>209</v>
      </c>
      <c r="K24" s="11" t="s">
        <v>196</v>
      </c>
      <c r="L24" s="10" t="s">
        <v>98</v>
      </c>
      <c r="M24" s="10" t="s">
        <v>103</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104</v>
      </c>
      <c r="AE24" s="10" t="s">
        <v>108</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N24" s="10" t="s">
        <v>215</v>
      </c>
      <c r="AO24" s="21">
        <v>3</v>
      </c>
      <c r="AP24" s="10" t="s">
        <v>128</v>
      </c>
    </row>
    <row r="25" spans="1:42" ht="32">
      <c r="A25" s="59">
        <v>44813</v>
      </c>
      <c r="C25" s="10">
        <v>8300012</v>
      </c>
      <c r="D25" s="10" t="s">
        <v>93</v>
      </c>
      <c r="E25" s="11">
        <v>9</v>
      </c>
      <c r="F25" s="39">
        <v>563541.58660000004</v>
      </c>
      <c r="G25" s="39">
        <v>6109764.7000000002</v>
      </c>
      <c r="H25" s="11" t="s">
        <v>129</v>
      </c>
      <c r="I25" s="11" t="s">
        <v>211</v>
      </c>
      <c r="K25" s="11" t="s">
        <v>196</v>
      </c>
      <c r="L25" s="10" t="s">
        <v>98</v>
      </c>
      <c r="M25" s="10" t="s">
        <v>103</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104</v>
      </c>
      <c r="AE25" s="10" t="s">
        <v>130</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86"/>
      <c r="AO25" s="88"/>
      <c r="AP25" s="10" t="s">
        <v>131</v>
      </c>
    </row>
    <row r="26" spans="1:42" ht="32">
      <c r="A26" s="59">
        <v>44813</v>
      </c>
      <c r="C26" s="10">
        <v>8300917</v>
      </c>
      <c r="D26" s="10" t="s">
        <v>93</v>
      </c>
      <c r="E26" s="11">
        <v>9</v>
      </c>
      <c r="F26" s="39">
        <v>563869.17090000003</v>
      </c>
      <c r="G26" s="39">
        <v>6109781.034</v>
      </c>
      <c r="H26" s="11" t="s">
        <v>129</v>
      </c>
      <c r="I26" s="11" t="s">
        <v>211</v>
      </c>
      <c r="K26" s="11" t="s">
        <v>293</v>
      </c>
      <c r="L26" s="10" t="s">
        <v>98</v>
      </c>
      <c r="M26" s="10" t="s">
        <v>103</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104</v>
      </c>
      <c r="AE26" s="10" t="s">
        <v>130</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86"/>
      <c r="AO26" s="88"/>
      <c r="AP26" s="10" t="s">
        <v>132</v>
      </c>
    </row>
    <row r="27" spans="1:42" ht="32">
      <c r="A27" s="59">
        <v>44813</v>
      </c>
      <c r="C27" s="10">
        <v>8300188</v>
      </c>
      <c r="D27" s="10" t="s">
        <v>93</v>
      </c>
      <c r="E27" s="11">
        <v>9</v>
      </c>
      <c r="F27" s="39">
        <v>558317.00749999995</v>
      </c>
      <c r="G27" s="39">
        <v>6127315.8250000002</v>
      </c>
      <c r="H27" s="11" t="s">
        <v>129</v>
      </c>
      <c r="I27" s="11" t="s">
        <v>133</v>
      </c>
      <c r="K27" s="11" t="s">
        <v>200</v>
      </c>
      <c r="L27" s="10" t="s">
        <v>98</v>
      </c>
      <c r="M27" s="10" t="s">
        <v>103</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104</v>
      </c>
      <c r="AE27" s="10" t="s">
        <v>108</v>
      </c>
      <c r="AF27" s="20">
        <f t="shared" si="8"/>
        <v>1.5</v>
      </c>
      <c r="AG27" s="13">
        <f t="shared" si="1"/>
        <v>0</v>
      </c>
      <c r="AH27" s="7">
        <f t="shared" si="2"/>
        <v>5</v>
      </c>
      <c r="AI27" s="7">
        <f t="shared" si="3"/>
        <v>0</v>
      </c>
      <c r="AJ27" s="7">
        <f t="shared" si="4"/>
        <v>5</v>
      </c>
      <c r="AK27" s="7">
        <f t="shared" si="5"/>
        <v>6</v>
      </c>
      <c r="AL27" s="12">
        <f t="shared" si="9"/>
        <v>16</v>
      </c>
      <c r="AM27" s="14" t="str">
        <f t="shared" si="7"/>
        <v>Potential</v>
      </c>
      <c r="AN27" s="10" t="s">
        <v>215</v>
      </c>
      <c r="AO27" s="21">
        <v>3</v>
      </c>
      <c r="AP27" s="10" t="s">
        <v>134</v>
      </c>
    </row>
    <row r="28" spans="1:42" ht="32">
      <c r="A28" s="59">
        <v>44813</v>
      </c>
      <c r="C28" s="10">
        <v>2022090901</v>
      </c>
      <c r="D28" s="10" t="s">
        <v>93</v>
      </c>
      <c r="E28" s="11">
        <v>9</v>
      </c>
      <c r="F28" s="39">
        <v>549761.10600000003</v>
      </c>
      <c r="G28" s="39">
        <v>6140313.0930000003</v>
      </c>
      <c r="H28" s="11" t="s">
        <v>129</v>
      </c>
      <c r="I28" s="11" t="s">
        <v>135</v>
      </c>
      <c r="K28" s="11" t="s">
        <v>207</v>
      </c>
      <c r="L28" s="10" t="s">
        <v>98</v>
      </c>
      <c r="M28" s="10" t="s">
        <v>103</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104</v>
      </c>
      <c r="AE28" s="10" t="s">
        <v>105</v>
      </c>
      <c r="AF28" s="20">
        <f t="shared" si="8"/>
        <v>2.125</v>
      </c>
      <c r="AG28" s="13">
        <f t="shared" si="1"/>
        <v>0</v>
      </c>
      <c r="AH28" s="7">
        <f t="shared" si="2"/>
        <v>10</v>
      </c>
      <c r="AI28" s="7">
        <f t="shared" si="3"/>
        <v>0</v>
      </c>
      <c r="AJ28" s="7">
        <f t="shared" si="4"/>
        <v>0</v>
      </c>
      <c r="AK28" s="7">
        <f t="shared" si="5"/>
        <v>6</v>
      </c>
      <c r="AL28" s="12">
        <f t="shared" si="9"/>
        <v>16</v>
      </c>
      <c r="AM28" s="14" t="str">
        <f t="shared" si="7"/>
        <v>Potential</v>
      </c>
      <c r="AN28" s="10" t="s">
        <v>215</v>
      </c>
      <c r="AO28" s="21">
        <v>3</v>
      </c>
      <c r="AP28" s="10" t="s">
        <v>136</v>
      </c>
    </row>
    <row r="29" spans="1:42" ht="32">
      <c r="A29" s="59">
        <v>44809</v>
      </c>
      <c r="C29" s="10">
        <v>8302421</v>
      </c>
      <c r="D29" s="10" t="s">
        <v>138</v>
      </c>
      <c r="E29" s="11">
        <v>9</v>
      </c>
      <c r="F29" s="39">
        <v>567222.22530000005</v>
      </c>
      <c r="G29" s="39">
        <v>6154119.9369999999</v>
      </c>
      <c r="H29" s="11" t="s">
        <v>100</v>
      </c>
      <c r="I29" s="11" t="s">
        <v>137</v>
      </c>
      <c r="K29" s="11" t="s">
        <v>195</v>
      </c>
      <c r="L29" s="10" t="s">
        <v>98</v>
      </c>
      <c r="M29" s="10" t="s">
        <v>103</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104</v>
      </c>
      <c r="AE29" s="10" t="s">
        <v>108</v>
      </c>
      <c r="AF29" s="20">
        <f t="shared" si="8"/>
        <v>15</v>
      </c>
      <c r="AG29" s="13">
        <f t="shared" si="1"/>
        <v>0</v>
      </c>
      <c r="AH29" s="7">
        <f t="shared" si="2"/>
        <v>10</v>
      </c>
      <c r="AI29" s="7">
        <f t="shared" si="3"/>
        <v>0</v>
      </c>
      <c r="AJ29" s="7">
        <f t="shared" si="4"/>
        <v>0</v>
      </c>
      <c r="AK29" s="7">
        <f t="shared" si="5"/>
        <v>6</v>
      </c>
      <c r="AL29" s="12">
        <f t="shared" si="9"/>
        <v>16</v>
      </c>
      <c r="AM29" s="14" t="str">
        <f t="shared" si="7"/>
        <v>Potential</v>
      </c>
      <c r="AN29" s="10" t="s">
        <v>216</v>
      </c>
      <c r="AO29" s="21">
        <v>20</v>
      </c>
      <c r="AP29" s="10" t="s">
        <v>298</v>
      </c>
    </row>
    <row r="30" spans="1:42" ht="32">
      <c r="A30" s="59">
        <v>44809</v>
      </c>
      <c r="C30" s="10">
        <v>8302065</v>
      </c>
      <c r="D30" s="10" t="s">
        <v>138</v>
      </c>
      <c r="E30" s="11">
        <v>9</v>
      </c>
      <c r="F30" s="39">
        <v>566030.28949999996</v>
      </c>
      <c r="G30" s="39">
        <v>6153076.9699999997</v>
      </c>
      <c r="H30" s="11" t="s">
        <v>139</v>
      </c>
      <c r="I30" s="11" t="s">
        <v>208</v>
      </c>
      <c r="K30" s="11" t="s">
        <v>195</v>
      </c>
      <c r="L30" s="10" t="s">
        <v>98</v>
      </c>
      <c r="M30" s="10" t="s">
        <v>103</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140</v>
      </c>
      <c r="AE30" s="10" t="s">
        <v>108</v>
      </c>
      <c r="AF30" s="20">
        <f t="shared" si="8"/>
        <v>2.75</v>
      </c>
      <c r="AG30" s="13">
        <f t="shared" si="1"/>
        <v>0</v>
      </c>
      <c r="AH30" s="7">
        <f t="shared" si="2"/>
        <v>10</v>
      </c>
      <c r="AI30" s="7">
        <f t="shared" si="3"/>
        <v>0</v>
      </c>
      <c r="AJ30" s="7">
        <f t="shared" si="4"/>
        <v>10</v>
      </c>
      <c r="AK30" s="7">
        <f t="shared" si="5"/>
        <v>6</v>
      </c>
      <c r="AL30" s="12">
        <f t="shared" si="9"/>
        <v>26</v>
      </c>
      <c r="AM30" s="14" t="str">
        <f t="shared" si="7"/>
        <v>Barrier</v>
      </c>
      <c r="AN30" s="10" t="s">
        <v>216</v>
      </c>
      <c r="AO30" s="21">
        <v>10</v>
      </c>
      <c r="AP30" s="10" t="s">
        <v>141</v>
      </c>
    </row>
    <row r="31" spans="1:42" ht="32">
      <c r="A31" s="59">
        <v>44809</v>
      </c>
      <c r="C31" s="10">
        <v>8300118</v>
      </c>
      <c r="D31" s="10" t="s">
        <v>138</v>
      </c>
      <c r="E31" s="11">
        <v>9</v>
      </c>
      <c r="F31" s="39">
        <v>572865.03040000005</v>
      </c>
      <c r="G31" s="39">
        <v>6149158.4119999995</v>
      </c>
      <c r="H31" s="11" t="s">
        <v>142</v>
      </c>
      <c r="I31" s="11" t="s">
        <v>208</v>
      </c>
      <c r="J31" s="22">
        <v>3.9</v>
      </c>
      <c r="K31" s="11" t="s">
        <v>196</v>
      </c>
      <c r="L31" s="10" t="s">
        <v>98</v>
      </c>
      <c r="M31" s="10" t="s">
        <v>103</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104</v>
      </c>
      <c r="AE31" s="10" t="s">
        <v>108</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N31" s="10" t="s">
        <v>216</v>
      </c>
      <c r="AO31" s="21">
        <v>10</v>
      </c>
      <c r="AP31" s="10" t="s">
        <v>143</v>
      </c>
    </row>
    <row r="32" spans="1:42" ht="32">
      <c r="A32" s="59">
        <v>44809</v>
      </c>
      <c r="C32" s="10">
        <v>2022090501</v>
      </c>
      <c r="D32" s="10" t="s">
        <v>138</v>
      </c>
      <c r="E32" s="11">
        <v>9</v>
      </c>
      <c r="F32" s="39">
        <v>573065.74219999998</v>
      </c>
      <c r="G32" s="39">
        <v>6152232.0839999998</v>
      </c>
      <c r="H32" s="11" t="s">
        <v>139</v>
      </c>
      <c r="I32" s="11" t="s">
        <v>144</v>
      </c>
      <c r="K32" s="11" t="s">
        <v>196</v>
      </c>
      <c r="L32" s="10" t="s">
        <v>98</v>
      </c>
      <c r="M32" s="10" t="s">
        <v>103</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104</v>
      </c>
      <c r="AE32" s="10" t="s">
        <v>130</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N32" s="10" t="s">
        <v>216</v>
      </c>
      <c r="AO32" s="21">
        <v>10</v>
      </c>
      <c r="AP32" s="10" t="s">
        <v>299</v>
      </c>
    </row>
    <row r="33" spans="1:42" ht="32">
      <c r="A33" s="59">
        <v>44810</v>
      </c>
      <c r="C33" s="10">
        <v>8300030</v>
      </c>
      <c r="D33" s="10" t="s">
        <v>138</v>
      </c>
      <c r="E33" s="11">
        <v>9</v>
      </c>
      <c r="F33" s="39">
        <v>545529.3469</v>
      </c>
      <c r="G33" s="39">
        <v>6170758.7470000004</v>
      </c>
      <c r="H33" s="11" t="s">
        <v>145</v>
      </c>
      <c r="I33" s="11" t="s">
        <v>209</v>
      </c>
      <c r="K33" s="11" t="s">
        <v>196</v>
      </c>
      <c r="L33" s="10" t="s">
        <v>98</v>
      </c>
      <c r="M33" s="10" t="s">
        <v>103</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104</v>
      </c>
      <c r="AE33" s="10" t="s">
        <v>108</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N33" s="10" t="s">
        <v>215</v>
      </c>
      <c r="AO33" s="21">
        <v>3</v>
      </c>
      <c r="AP33" s="10" t="s">
        <v>146</v>
      </c>
    </row>
    <row r="34" spans="1:42" ht="32">
      <c r="A34" s="59">
        <v>44810</v>
      </c>
      <c r="C34" s="10">
        <v>8300111</v>
      </c>
      <c r="D34" s="10" t="s">
        <v>138</v>
      </c>
      <c r="E34" s="11">
        <v>9</v>
      </c>
      <c r="F34" s="39">
        <v>553817.49109999998</v>
      </c>
      <c r="G34" s="39">
        <v>6166233.2699999996</v>
      </c>
      <c r="H34" s="11" t="s">
        <v>139</v>
      </c>
      <c r="I34" s="11" t="s">
        <v>209</v>
      </c>
      <c r="K34" s="11" t="s">
        <v>196</v>
      </c>
      <c r="L34" s="10" t="s">
        <v>98</v>
      </c>
      <c r="M34" s="10" t="s">
        <v>103</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104</v>
      </c>
      <c r="AE34" s="10" t="s">
        <v>108</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N34" s="10" t="s">
        <v>215</v>
      </c>
      <c r="AO34" s="21">
        <v>3</v>
      </c>
      <c r="AP34" s="10" t="s">
        <v>300</v>
      </c>
    </row>
    <row r="35" spans="1:42" ht="32">
      <c r="A35" s="59">
        <v>44810</v>
      </c>
      <c r="C35" s="10">
        <v>8302403</v>
      </c>
      <c r="D35" s="10" t="s">
        <v>138</v>
      </c>
      <c r="E35" s="11">
        <v>9</v>
      </c>
      <c r="F35" s="39">
        <v>542451.61450000003</v>
      </c>
      <c r="G35" s="39">
        <v>6168061.9859999996</v>
      </c>
      <c r="H35" s="11" t="s">
        <v>139</v>
      </c>
      <c r="I35" s="11" t="s">
        <v>212</v>
      </c>
      <c r="J35" s="22">
        <v>21</v>
      </c>
      <c r="K35" s="11" t="s">
        <v>201</v>
      </c>
      <c r="L35" s="10" t="s">
        <v>98</v>
      </c>
      <c r="M35" s="10" t="s">
        <v>103</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104</v>
      </c>
      <c r="AE35" s="10" t="s">
        <v>108</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N35" s="10" t="s">
        <v>216</v>
      </c>
      <c r="AO35" s="21">
        <v>10</v>
      </c>
      <c r="AP35" s="10" t="s">
        <v>147</v>
      </c>
    </row>
    <row r="36" spans="1:42" ht="32">
      <c r="A36" s="59">
        <v>44810</v>
      </c>
      <c r="C36" s="10">
        <v>8302407</v>
      </c>
      <c r="D36" s="10" t="s">
        <v>138</v>
      </c>
      <c r="E36" s="11">
        <v>9</v>
      </c>
      <c r="F36" s="39">
        <v>548521.64040000003</v>
      </c>
      <c r="G36" s="39">
        <v>6165904.773</v>
      </c>
      <c r="H36" s="11" t="s">
        <v>139</v>
      </c>
      <c r="I36" s="11" t="s">
        <v>212</v>
      </c>
      <c r="J36" s="22">
        <v>14</v>
      </c>
      <c r="K36" s="11" t="s">
        <v>201</v>
      </c>
      <c r="L36" s="10" t="s">
        <v>95</v>
      </c>
      <c r="M36" s="10" t="s">
        <v>148</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86"/>
      <c r="AO36" s="88"/>
      <c r="AP36" s="10" t="s">
        <v>301</v>
      </c>
    </row>
    <row r="37" spans="1:42" ht="16">
      <c r="A37" s="59">
        <v>44811</v>
      </c>
      <c r="C37" s="10">
        <v>8301754</v>
      </c>
      <c r="D37" s="10" t="s">
        <v>138</v>
      </c>
      <c r="E37" s="11">
        <v>9</v>
      </c>
      <c r="F37" s="39">
        <v>564129.63919999998</v>
      </c>
      <c r="G37" s="39">
        <v>6166824.1220000004</v>
      </c>
      <c r="H37" s="11" t="s">
        <v>149</v>
      </c>
      <c r="I37" s="11" t="s">
        <v>120</v>
      </c>
      <c r="K37" s="11" t="s">
        <v>199</v>
      </c>
      <c r="L37" s="10" t="s">
        <v>98</v>
      </c>
      <c r="M37" s="10" t="s">
        <v>103</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150</v>
      </c>
      <c r="AE37" s="10" t="s">
        <v>130</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86"/>
      <c r="AO37" s="88"/>
      <c r="AP37" s="10" t="s">
        <v>151</v>
      </c>
    </row>
    <row r="38" spans="1:42" ht="32">
      <c r="A38" s="59">
        <v>44811</v>
      </c>
      <c r="C38" s="10">
        <v>8301749</v>
      </c>
      <c r="D38" s="10" t="s">
        <v>180</v>
      </c>
      <c r="E38" s="11">
        <v>9</v>
      </c>
      <c r="F38" s="39">
        <v>564726.29700000002</v>
      </c>
      <c r="G38" s="39">
        <v>6164300.5060000001</v>
      </c>
      <c r="H38" s="11" t="s">
        <v>121</v>
      </c>
      <c r="I38" s="11" t="s">
        <v>120</v>
      </c>
      <c r="K38" s="11" t="s">
        <v>199</v>
      </c>
      <c r="L38" s="10" t="s">
        <v>98</v>
      </c>
      <c r="M38" s="10" t="s">
        <v>103</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104</v>
      </c>
      <c r="AE38" s="10" t="s">
        <v>108</v>
      </c>
      <c r="AF38" s="20">
        <f t="shared" si="8"/>
        <v>2</v>
      </c>
      <c r="AG38" s="13">
        <f t="shared" si="1"/>
        <v>0</v>
      </c>
      <c r="AH38" s="7">
        <f t="shared" si="2"/>
        <v>10</v>
      </c>
      <c r="AI38" s="7">
        <f t="shared" si="3"/>
        <v>0</v>
      </c>
      <c r="AJ38" s="7">
        <f t="shared" si="4"/>
        <v>5</v>
      </c>
      <c r="AK38" s="7">
        <f t="shared" si="5"/>
        <v>6</v>
      </c>
      <c r="AL38" s="12">
        <f t="shared" si="9"/>
        <v>21</v>
      </c>
      <c r="AM38" s="14" t="str">
        <f t="shared" si="7"/>
        <v>Barrier</v>
      </c>
      <c r="AN38" s="10" t="s">
        <v>215</v>
      </c>
      <c r="AO38" s="21">
        <v>3</v>
      </c>
      <c r="AP38" s="10" t="s">
        <v>302</v>
      </c>
    </row>
    <row r="39" spans="1:42" ht="32">
      <c r="A39" s="59">
        <v>44811</v>
      </c>
      <c r="C39" s="10">
        <v>8301748</v>
      </c>
      <c r="D39" s="10" t="s">
        <v>138</v>
      </c>
      <c r="E39" s="11">
        <v>9</v>
      </c>
      <c r="F39" s="39">
        <v>565280.84360000002</v>
      </c>
      <c r="G39" s="39">
        <v>6163975.7209999999</v>
      </c>
      <c r="H39" s="11" t="s">
        <v>121</v>
      </c>
      <c r="I39" s="11" t="s">
        <v>120</v>
      </c>
      <c r="K39" s="11" t="s">
        <v>199</v>
      </c>
      <c r="L39" s="10" t="s">
        <v>98</v>
      </c>
      <c r="M39" s="10" t="s">
        <v>103</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104</v>
      </c>
      <c r="AE39" s="10" t="s">
        <v>108</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N39" s="10" t="s">
        <v>215</v>
      </c>
      <c r="AO39" s="21">
        <v>3</v>
      </c>
      <c r="AP39" s="10" t="s">
        <v>303</v>
      </c>
    </row>
    <row r="40" spans="1:42" ht="32">
      <c r="A40" s="59">
        <v>44813</v>
      </c>
      <c r="C40" s="10">
        <v>8300042</v>
      </c>
      <c r="D40" s="10" t="s">
        <v>180</v>
      </c>
      <c r="E40" s="11">
        <v>9</v>
      </c>
      <c r="F40" s="39">
        <v>582153.73289999994</v>
      </c>
      <c r="G40" s="39">
        <v>6135026.2599999998</v>
      </c>
      <c r="H40" s="11" t="s">
        <v>139</v>
      </c>
      <c r="I40" s="11" t="s">
        <v>210</v>
      </c>
      <c r="K40" s="11" t="s">
        <v>196</v>
      </c>
      <c r="L40" s="10" t="s">
        <v>98</v>
      </c>
      <c r="M40" s="10" t="s">
        <v>103</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104</v>
      </c>
      <c r="AE40" s="10" t="s">
        <v>130</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N40" s="10" t="s">
        <v>216</v>
      </c>
      <c r="AO40" s="21">
        <v>17.5</v>
      </c>
      <c r="AP40" s="10" t="s">
        <v>304</v>
      </c>
    </row>
    <row r="41" spans="1:42" ht="32">
      <c r="A41" s="59">
        <v>44813</v>
      </c>
      <c r="C41" s="10">
        <v>8300054</v>
      </c>
      <c r="D41" s="10" t="s">
        <v>138</v>
      </c>
      <c r="E41" s="11">
        <v>9</v>
      </c>
      <c r="F41" s="39">
        <v>583025.51610000001</v>
      </c>
      <c r="G41" s="39">
        <v>6130401.8499999996</v>
      </c>
      <c r="H41" s="11" t="s">
        <v>152</v>
      </c>
      <c r="I41" s="11" t="s">
        <v>209</v>
      </c>
      <c r="K41" s="11" t="s">
        <v>202</v>
      </c>
      <c r="L41" s="10" t="s">
        <v>98</v>
      </c>
      <c r="M41" s="10" t="s">
        <v>103</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104</v>
      </c>
      <c r="AE41" s="10" t="s">
        <v>130</v>
      </c>
      <c r="AF41" s="20">
        <f t="shared" si="8"/>
        <v>2.8</v>
      </c>
      <c r="AG41" s="13">
        <f t="shared" si="1"/>
        <v>3</v>
      </c>
      <c r="AH41" s="7">
        <f t="shared" si="2"/>
        <v>5</v>
      </c>
      <c r="AI41" s="7">
        <f t="shared" si="3"/>
        <v>0</v>
      </c>
      <c r="AJ41" s="7">
        <f t="shared" si="4"/>
        <v>0</v>
      </c>
      <c r="AK41" s="7">
        <f t="shared" si="5"/>
        <v>6</v>
      </c>
      <c r="AL41" s="12">
        <f t="shared" si="9"/>
        <v>14</v>
      </c>
      <c r="AM41" s="14" t="str">
        <f t="shared" si="7"/>
        <v>Passable</v>
      </c>
      <c r="AN41" s="86"/>
      <c r="AO41" s="88"/>
      <c r="AP41" s="10" t="s">
        <v>153</v>
      </c>
    </row>
    <row r="42" spans="1:42" ht="32">
      <c r="A42" s="59">
        <v>44813</v>
      </c>
      <c r="C42" s="10">
        <v>8301485</v>
      </c>
      <c r="D42" s="10" t="s">
        <v>138</v>
      </c>
      <c r="E42" s="11">
        <v>9</v>
      </c>
      <c r="F42" s="39">
        <v>582851.3419</v>
      </c>
      <c r="G42" s="39">
        <v>6130490.6440000003</v>
      </c>
      <c r="H42" s="11" t="s">
        <v>152</v>
      </c>
      <c r="I42" s="11" t="s">
        <v>213</v>
      </c>
      <c r="K42" s="11" t="s">
        <v>294</v>
      </c>
      <c r="L42" s="10" t="s">
        <v>98</v>
      </c>
      <c r="M42" s="10" t="s">
        <v>103</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104</v>
      </c>
      <c r="AE42" s="10" t="s">
        <v>130</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N42" s="10" t="s">
        <v>216</v>
      </c>
      <c r="AO42" s="21">
        <v>10</v>
      </c>
      <c r="AP42" s="10" t="s">
        <v>305</v>
      </c>
    </row>
    <row r="43" spans="1:42" ht="32">
      <c r="A43" s="59">
        <v>44811</v>
      </c>
      <c r="C43" s="10">
        <v>62787053</v>
      </c>
      <c r="D43" s="10" t="s">
        <v>180</v>
      </c>
      <c r="E43" s="11">
        <v>9</v>
      </c>
      <c r="F43" s="39">
        <v>571274.1531</v>
      </c>
      <c r="G43" s="39">
        <v>6156519.1540000001</v>
      </c>
      <c r="H43" s="11" t="s">
        <v>100</v>
      </c>
      <c r="I43" s="11" t="s">
        <v>209</v>
      </c>
      <c r="K43" s="11" t="s">
        <v>196</v>
      </c>
      <c r="L43" s="10" t="s">
        <v>98</v>
      </c>
      <c r="M43" s="10" t="s">
        <v>103</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104</v>
      </c>
      <c r="AE43" s="10" t="s">
        <v>105</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N43" s="10" t="s">
        <v>216</v>
      </c>
      <c r="AO43" s="21">
        <v>10</v>
      </c>
      <c r="AP43" s="10" t="s">
        <v>306</v>
      </c>
    </row>
    <row r="44" spans="1:42" ht="32">
      <c r="A44" s="59">
        <v>44813</v>
      </c>
      <c r="C44" s="10">
        <v>8300033</v>
      </c>
      <c r="D44" s="10" t="s">
        <v>138</v>
      </c>
      <c r="E44" s="11">
        <v>9</v>
      </c>
      <c r="F44" s="39">
        <v>579936.82109999994</v>
      </c>
      <c r="G44" s="39">
        <v>6144036.6239999998</v>
      </c>
      <c r="H44" s="11" t="s">
        <v>100</v>
      </c>
      <c r="I44" s="11" t="s">
        <v>214</v>
      </c>
      <c r="K44" s="11" t="s">
        <v>196</v>
      </c>
      <c r="L44" s="10" t="s">
        <v>98</v>
      </c>
      <c r="M44" s="10" t="s">
        <v>103</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104</v>
      </c>
      <c r="AE44" s="10" t="s">
        <v>105</v>
      </c>
      <c r="AF44" s="20">
        <f t="shared" si="8"/>
        <v>3.125</v>
      </c>
      <c r="AG44" s="13">
        <f t="shared" si="1"/>
        <v>0</v>
      </c>
      <c r="AH44" s="7">
        <f t="shared" si="2"/>
        <v>10</v>
      </c>
      <c r="AI44" s="7">
        <f t="shared" si="3"/>
        <v>0</v>
      </c>
      <c r="AJ44" s="7">
        <f t="shared" si="4"/>
        <v>0</v>
      </c>
      <c r="AK44" s="7">
        <f t="shared" si="5"/>
        <v>6</v>
      </c>
      <c r="AL44" s="12">
        <f t="shared" si="9"/>
        <v>16</v>
      </c>
      <c r="AM44" s="14" t="str">
        <f t="shared" si="7"/>
        <v>Potential</v>
      </c>
      <c r="AN44" s="10" t="s">
        <v>216</v>
      </c>
      <c r="AO44" s="21">
        <v>10</v>
      </c>
      <c r="AP44" s="10" t="s">
        <v>307</v>
      </c>
    </row>
    <row r="45" spans="1:42" ht="32">
      <c r="A45" s="59">
        <v>44814</v>
      </c>
      <c r="C45" s="10">
        <v>8300095</v>
      </c>
      <c r="D45" s="10" t="s">
        <v>138</v>
      </c>
      <c r="E45" s="11">
        <v>9</v>
      </c>
      <c r="F45" s="39">
        <v>563431</v>
      </c>
      <c r="G45" s="39">
        <v>6109637</v>
      </c>
      <c r="H45" s="11" t="s">
        <v>129</v>
      </c>
      <c r="I45" s="11" t="s">
        <v>133</v>
      </c>
      <c r="K45" s="11" t="s">
        <v>200</v>
      </c>
      <c r="L45" s="10" t="s">
        <v>98</v>
      </c>
      <c r="M45" s="10" t="s">
        <v>103</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104</v>
      </c>
      <c r="AE45" s="10" t="s">
        <v>130</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N45" s="10" t="s">
        <v>216</v>
      </c>
      <c r="AO45" s="21">
        <v>30.5</v>
      </c>
      <c r="AP45" s="10" t="s">
        <v>308</v>
      </c>
    </row>
    <row r="46" spans="1:42" ht="32">
      <c r="A46" s="59">
        <v>44814</v>
      </c>
      <c r="C46" s="10">
        <v>8300178</v>
      </c>
      <c r="D46" s="10" t="s">
        <v>138</v>
      </c>
      <c r="E46" s="11">
        <v>9</v>
      </c>
      <c r="F46" s="39">
        <v>558773.20570000005</v>
      </c>
      <c r="G46" s="39">
        <v>6126523.3099999996</v>
      </c>
      <c r="H46" s="11" t="s">
        <v>129</v>
      </c>
      <c r="I46" s="11" t="s">
        <v>154</v>
      </c>
      <c r="K46" s="11" t="s">
        <v>196</v>
      </c>
      <c r="L46" s="10" t="s">
        <v>98</v>
      </c>
      <c r="M46" s="10" t="s">
        <v>103</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104</v>
      </c>
      <c r="AE46" s="10" t="s">
        <v>105</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N46" s="10" t="s">
        <v>216</v>
      </c>
      <c r="AO46" s="21">
        <v>10</v>
      </c>
      <c r="AP46" s="10" t="s">
        <v>309</v>
      </c>
    </row>
    <row r="47" spans="1:42" ht="16">
      <c r="A47" s="59">
        <v>44812</v>
      </c>
      <c r="C47" s="10">
        <v>8302257</v>
      </c>
      <c r="D47" s="10" t="s">
        <v>138</v>
      </c>
      <c r="E47" s="11">
        <v>9</v>
      </c>
      <c r="F47" s="39">
        <v>587054.01138077199</v>
      </c>
      <c r="G47" s="39">
        <v>6138715.9746004604</v>
      </c>
      <c r="H47" s="11" t="s">
        <v>164</v>
      </c>
      <c r="I47" s="11" t="s">
        <v>157</v>
      </c>
      <c r="K47" s="11" t="s">
        <v>203</v>
      </c>
      <c r="L47" s="10" t="s">
        <v>98</v>
      </c>
      <c r="M47" s="10" t="s">
        <v>103</v>
      </c>
      <c r="N47" s="21">
        <v>3.8</v>
      </c>
      <c r="O47" s="21">
        <v>30</v>
      </c>
      <c r="P47" s="10" t="s">
        <v>96</v>
      </c>
      <c r="Q47" s="88"/>
      <c r="R47" s="10" t="s">
        <v>96</v>
      </c>
      <c r="S47" s="10" t="s">
        <v>96</v>
      </c>
      <c r="T47" s="88"/>
      <c r="U47" s="21">
        <v>4</v>
      </c>
      <c r="V47" s="10">
        <v>0.45</v>
      </c>
      <c r="W47" s="21">
        <v>0.4</v>
      </c>
      <c r="X47" s="10" t="s">
        <v>96</v>
      </c>
      <c r="Y47" s="21">
        <v>2.5</v>
      </c>
      <c r="Z47" s="21">
        <v>8.1999999999999993</v>
      </c>
      <c r="AA47" s="10">
        <v>4</v>
      </c>
      <c r="AB47" s="10" t="s">
        <v>96</v>
      </c>
      <c r="AC47" s="10" t="s">
        <v>96</v>
      </c>
      <c r="AD47" s="10" t="s">
        <v>104</v>
      </c>
      <c r="AE47" s="10" t="s">
        <v>130</v>
      </c>
      <c r="AF47" s="20">
        <f t="shared" si="8"/>
        <v>2.1578947368421053</v>
      </c>
      <c r="AG47" s="13">
        <f t="shared" si="1"/>
        <v>6</v>
      </c>
      <c r="AH47" s="7">
        <f t="shared" si="2"/>
        <v>10</v>
      </c>
      <c r="AI47" s="7">
        <f t="shared" si="3"/>
        <v>10</v>
      </c>
      <c r="AJ47" s="7">
        <f t="shared" si="4"/>
        <v>5</v>
      </c>
      <c r="AK47" s="7">
        <f t="shared" si="5"/>
        <v>6</v>
      </c>
      <c r="AL47" s="12">
        <f t="shared" si="9"/>
        <v>37</v>
      </c>
      <c r="AM47" s="14" t="str">
        <f t="shared" si="7"/>
        <v>Barrier</v>
      </c>
      <c r="AN47" s="10" t="s">
        <v>216</v>
      </c>
      <c r="AO47" s="21">
        <v>13</v>
      </c>
      <c r="AP47" s="10" t="s">
        <v>165</v>
      </c>
    </row>
    <row r="48" spans="1:42" ht="16">
      <c r="A48" s="59">
        <v>44812</v>
      </c>
      <c r="C48" s="10">
        <v>8300238</v>
      </c>
      <c r="D48" s="10" t="s">
        <v>138</v>
      </c>
      <c r="E48" s="11">
        <v>9</v>
      </c>
      <c r="F48" s="39">
        <v>587207.36312942405</v>
      </c>
      <c r="G48" s="39">
        <v>6138659.0618856801</v>
      </c>
      <c r="H48" s="11" t="s">
        <v>164</v>
      </c>
      <c r="I48" s="11" t="s">
        <v>163</v>
      </c>
      <c r="K48" s="11" t="s">
        <v>290</v>
      </c>
      <c r="L48" s="10" t="s">
        <v>92</v>
      </c>
      <c r="M48" s="10" t="s">
        <v>99</v>
      </c>
      <c r="N48" s="88"/>
      <c r="O48" s="88"/>
      <c r="P48" s="86"/>
      <c r="Q48" s="88"/>
      <c r="R48" s="86"/>
      <c r="S48" s="86"/>
      <c r="T48" s="88"/>
      <c r="U48" s="88"/>
      <c r="V48" s="86"/>
      <c r="W48" s="88"/>
      <c r="X48" s="86"/>
      <c r="Y48" s="88"/>
      <c r="Z48" s="88"/>
      <c r="AA48" s="86"/>
      <c r="AB48" s="10" t="s">
        <v>96</v>
      </c>
      <c r="AC48" s="10" t="s">
        <v>96</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310</v>
      </c>
    </row>
    <row r="49" spans="1:42" ht="32">
      <c r="A49" s="59">
        <v>44817</v>
      </c>
      <c r="C49" s="10">
        <v>4601067</v>
      </c>
      <c r="D49" s="10" t="s">
        <v>185</v>
      </c>
      <c r="E49" s="11">
        <v>9</v>
      </c>
      <c r="F49" s="39">
        <v>594902</v>
      </c>
      <c r="G49" s="39">
        <v>6075406</v>
      </c>
      <c r="H49" s="11" t="s">
        <v>192</v>
      </c>
      <c r="I49" s="11" t="s">
        <v>289</v>
      </c>
      <c r="J49" s="22">
        <v>2.5</v>
      </c>
      <c r="K49" s="11" t="s">
        <v>204</v>
      </c>
      <c r="L49" s="10" t="s">
        <v>98</v>
      </c>
      <c r="M49" s="10" t="s">
        <v>103</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150</v>
      </c>
      <c r="AE49" s="10" t="s">
        <v>105</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N49" s="10" t="s">
        <v>215</v>
      </c>
      <c r="AO49" s="21">
        <v>3</v>
      </c>
      <c r="AP49" s="89" t="s">
        <v>188</v>
      </c>
    </row>
    <row r="50" spans="1:42" ht="16">
      <c r="A50" s="59">
        <v>44827</v>
      </c>
      <c r="C50" s="10">
        <v>8300128</v>
      </c>
      <c r="D50" s="10" t="s">
        <v>156</v>
      </c>
      <c r="E50" s="11">
        <v>9</v>
      </c>
      <c r="F50" s="39">
        <v>584898.73659999995</v>
      </c>
      <c r="G50" s="39">
        <v>6152502.318</v>
      </c>
      <c r="H50" s="11" t="s">
        <v>155</v>
      </c>
      <c r="I50" s="11" t="s">
        <v>157</v>
      </c>
      <c r="J50" s="22">
        <v>30</v>
      </c>
      <c r="K50" s="11" t="s">
        <v>203</v>
      </c>
      <c r="L50" s="10" t="s">
        <v>98</v>
      </c>
      <c r="M50" s="10" t="s">
        <v>103</v>
      </c>
      <c r="N50" s="21">
        <v>2.4</v>
      </c>
      <c r="O50" s="21">
        <v>30</v>
      </c>
      <c r="P50" s="10" t="s">
        <v>96</v>
      </c>
      <c r="Q50" s="88"/>
      <c r="R50" s="10" t="s">
        <v>96</v>
      </c>
      <c r="S50" s="10" t="s">
        <v>96</v>
      </c>
      <c r="T50" s="88"/>
      <c r="U50" s="21">
        <v>4</v>
      </c>
      <c r="V50" s="10">
        <v>2</v>
      </c>
      <c r="W50" s="21">
        <v>2</v>
      </c>
      <c r="X50" s="10" t="s">
        <v>102</v>
      </c>
      <c r="Y50" s="21">
        <v>3.5</v>
      </c>
      <c r="Z50" s="21">
        <v>3.7</v>
      </c>
      <c r="AA50" s="10">
        <v>4.5</v>
      </c>
      <c r="AB50" s="10" t="s">
        <v>96</v>
      </c>
      <c r="AC50" s="10" t="s">
        <v>96</v>
      </c>
      <c r="AD50" s="10" t="s">
        <v>104</v>
      </c>
      <c r="AE50" s="10" t="s">
        <v>108</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N50" s="10" t="s">
        <v>216</v>
      </c>
      <c r="AO50" s="21">
        <v>13</v>
      </c>
      <c r="AP50" s="10" t="s">
        <v>158</v>
      </c>
    </row>
    <row r="51" spans="1:42" ht="16">
      <c r="A51" s="59">
        <v>44830</v>
      </c>
      <c r="C51" s="10">
        <v>24709789</v>
      </c>
      <c r="D51" s="10" t="s">
        <v>156</v>
      </c>
      <c r="E51" s="11">
        <v>9</v>
      </c>
      <c r="F51" s="39">
        <v>581806.03940000001</v>
      </c>
      <c r="G51" s="39">
        <v>6156404.443</v>
      </c>
      <c r="H51" s="11" t="s">
        <v>159</v>
      </c>
      <c r="I51" s="11" t="s">
        <v>157</v>
      </c>
      <c r="J51" s="22">
        <v>36</v>
      </c>
      <c r="K51" s="11" t="s">
        <v>203</v>
      </c>
      <c r="L51" s="10" t="s">
        <v>95</v>
      </c>
      <c r="M51" s="10" t="s">
        <v>101</v>
      </c>
      <c r="N51" s="21">
        <v>4.8</v>
      </c>
      <c r="O51" s="21">
        <v>10</v>
      </c>
      <c r="P51" s="86"/>
      <c r="Q51" s="88"/>
      <c r="R51" s="86"/>
      <c r="S51" s="86"/>
      <c r="T51" s="88"/>
      <c r="U51" s="88"/>
      <c r="V51" s="86"/>
      <c r="W51" s="88"/>
      <c r="X51" s="86"/>
      <c r="Y51" s="88"/>
      <c r="Z51" s="88"/>
      <c r="AA51" s="86"/>
      <c r="AB51" s="10" t="s">
        <v>96</v>
      </c>
      <c r="AC51" s="10" t="s">
        <v>96</v>
      </c>
      <c r="AD51" s="86"/>
      <c r="AE51" s="86"/>
      <c r="AF51" s="20">
        <f t="shared" si="8"/>
        <v>0</v>
      </c>
      <c r="AG51" s="13">
        <f t="shared" si="1"/>
        <v>0</v>
      </c>
      <c r="AH51" s="7">
        <f t="shared" si="2"/>
        <v>0</v>
      </c>
      <c r="AI51" s="7">
        <f t="shared" si="3"/>
        <v>0</v>
      </c>
      <c r="AJ51" s="7">
        <f t="shared" si="4"/>
        <v>0</v>
      </c>
      <c r="AK51" s="7">
        <f t="shared" si="5"/>
        <v>0</v>
      </c>
      <c r="AL51" s="12">
        <f t="shared" si="9"/>
        <v>0</v>
      </c>
      <c r="AM51" s="14" t="str">
        <f t="shared" si="7"/>
        <v>Passable</v>
      </c>
      <c r="AN51" s="86"/>
      <c r="AO51" s="88"/>
      <c r="AP51" s="10" t="s">
        <v>161</v>
      </c>
    </row>
    <row r="52" spans="1:42" ht="32">
      <c r="A52" s="59">
        <v>44830</v>
      </c>
      <c r="C52" s="10">
        <v>24709790</v>
      </c>
      <c r="D52" s="10" t="s">
        <v>156</v>
      </c>
      <c r="E52" s="11">
        <v>9</v>
      </c>
      <c r="F52" s="39">
        <v>583782.12860000005</v>
      </c>
      <c r="G52" s="39">
        <v>6153478.7290000003</v>
      </c>
      <c r="H52" s="11" t="s">
        <v>160</v>
      </c>
      <c r="I52" s="11" t="s">
        <v>157</v>
      </c>
      <c r="J52" s="22">
        <v>34</v>
      </c>
      <c r="K52" s="11" t="s">
        <v>203</v>
      </c>
      <c r="L52" s="10" t="s">
        <v>95</v>
      </c>
      <c r="M52" s="10" t="s">
        <v>101</v>
      </c>
      <c r="N52" s="21">
        <v>4.8</v>
      </c>
      <c r="O52" s="21">
        <v>18</v>
      </c>
      <c r="P52" s="86"/>
      <c r="Q52" s="88"/>
      <c r="R52" s="86"/>
      <c r="S52" s="86"/>
      <c r="T52" s="88"/>
      <c r="U52" s="88"/>
      <c r="V52" s="86"/>
      <c r="W52" s="88"/>
      <c r="X52" s="86"/>
      <c r="Y52" s="88"/>
      <c r="Z52" s="88"/>
      <c r="AA52" s="86"/>
      <c r="AB52" s="10" t="s">
        <v>96</v>
      </c>
      <c r="AC52" s="10" t="s">
        <v>96</v>
      </c>
      <c r="AD52" s="86"/>
      <c r="AE52" s="86"/>
      <c r="AF52" s="20">
        <f t="shared" si="8"/>
        <v>0</v>
      </c>
      <c r="AG52" s="13">
        <f t="shared" si="1"/>
        <v>3</v>
      </c>
      <c r="AH52" s="7">
        <f t="shared" si="2"/>
        <v>0</v>
      </c>
      <c r="AI52" s="7">
        <f t="shared" si="3"/>
        <v>0</v>
      </c>
      <c r="AJ52" s="7">
        <f t="shared" si="4"/>
        <v>0</v>
      </c>
      <c r="AK52" s="7">
        <f t="shared" si="5"/>
        <v>0</v>
      </c>
      <c r="AL52" s="12">
        <f t="shared" si="9"/>
        <v>3</v>
      </c>
      <c r="AM52" s="14" t="str">
        <f t="shared" si="7"/>
        <v>Passable</v>
      </c>
      <c r="AN52" s="86"/>
      <c r="AO52" s="88"/>
      <c r="AP52" s="89" t="s">
        <v>187</v>
      </c>
    </row>
    <row r="53" spans="1:42" ht="32">
      <c r="A53" s="59">
        <v>44830</v>
      </c>
      <c r="C53" s="10">
        <v>8302244</v>
      </c>
      <c r="D53" s="10" t="s">
        <v>156</v>
      </c>
      <c r="E53" s="11">
        <v>9</v>
      </c>
      <c r="F53" s="39">
        <v>583847.89619999996</v>
      </c>
      <c r="G53" s="39">
        <v>6153431.7350000003</v>
      </c>
      <c r="H53" s="11" t="s">
        <v>160</v>
      </c>
      <c r="I53" s="11" t="s">
        <v>157</v>
      </c>
      <c r="J53" s="22">
        <v>34</v>
      </c>
      <c r="K53" s="11" t="s">
        <v>203</v>
      </c>
      <c r="L53" s="10" t="s">
        <v>95</v>
      </c>
      <c r="M53" s="10" t="s">
        <v>101</v>
      </c>
      <c r="N53" s="21">
        <v>4.8</v>
      </c>
      <c r="O53" s="21">
        <v>10.6</v>
      </c>
      <c r="P53" s="86"/>
      <c r="Q53" s="88"/>
      <c r="R53" s="86"/>
      <c r="S53" s="86"/>
      <c r="T53" s="88"/>
      <c r="U53" s="88"/>
      <c r="V53" s="86"/>
      <c r="W53" s="88"/>
      <c r="X53" s="86"/>
      <c r="Y53" s="88"/>
      <c r="Z53" s="88"/>
      <c r="AA53" s="86"/>
      <c r="AB53" s="10" t="s">
        <v>96</v>
      </c>
      <c r="AC53" s="10" t="s">
        <v>96</v>
      </c>
      <c r="AD53" s="86"/>
      <c r="AE53" s="86"/>
      <c r="AF53" s="20">
        <f t="shared" si="8"/>
        <v>0</v>
      </c>
      <c r="AG53" s="13">
        <f t="shared" si="1"/>
        <v>0</v>
      </c>
      <c r="AH53" s="7">
        <f t="shared" si="2"/>
        <v>0</v>
      </c>
      <c r="AI53" s="7">
        <f t="shared" si="3"/>
        <v>0</v>
      </c>
      <c r="AJ53" s="7">
        <f t="shared" si="4"/>
        <v>0</v>
      </c>
      <c r="AK53" s="7">
        <f t="shared" si="5"/>
        <v>0</v>
      </c>
      <c r="AL53" s="12">
        <f t="shared" si="9"/>
        <v>0</v>
      </c>
      <c r="AM53" s="14" t="str">
        <f t="shared" si="7"/>
        <v>Passable</v>
      </c>
      <c r="AN53" s="86"/>
      <c r="AO53" s="88"/>
      <c r="AP53" s="10" t="s">
        <v>162</v>
      </c>
    </row>
    <row r="54" spans="1:42" ht="32">
      <c r="A54" s="59">
        <v>44809</v>
      </c>
      <c r="C54" s="10">
        <v>8300390</v>
      </c>
      <c r="D54" s="10" t="s">
        <v>138</v>
      </c>
      <c r="E54" s="11">
        <v>9</v>
      </c>
      <c r="F54" s="39">
        <v>570745.12124158803</v>
      </c>
      <c r="G54" s="39">
        <v>6149438.0131760295</v>
      </c>
      <c r="H54" s="11" t="s">
        <v>166</v>
      </c>
      <c r="I54" s="11" t="s">
        <v>163</v>
      </c>
      <c r="J54" s="22">
        <v>0.5</v>
      </c>
      <c r="K54" s="11" t="s">
        <v>291</v>
      </c>
      <c r="L54" s="10" t="s">
        <v>92</v>
      </c>
      <c r="M54" s="10" t="s">
        <v>99</v>
      </c>
      <c r="N54" s="88"/>
      <c r="O54" s="88"/>
      <c r="P54" s="86"/>
      <c r="Q54" s="88"/>
      <c r="R54" s="86"/>
      <c r="S54" s="86"/>
      <c r="T54" s="88"/>
      <c r="U54" s="88"/>
      <c r="V54" s="86"/>
      <c r="W54" s="88"/>
      <c r="X54" s="86"/>
      <c r="Y54" s="88"/>
      <c r="Z54" s="88"/>
      <c r="AA54" s="86"/>
      <c r="AB54" s="10" t="s">
        <v>96</v>
      </c>
      <c r="AC54" s="10" t="s">
        <v>96</v>
      </c>
      <c r="AD54" s="86"/>
      <c r="AE54" s="86"/>
      <c r="AF54" s="20">
        <f t="shared" si="8"/>
        <v>0</v>
      </c>
      <c r="AG54" s="13">
        <f t="shared" si="1"/>
        <v>0</v>
      </c>
      <c r="AH54" s="7">
        <f t="shared" si="2"/>
        <v>0</v>
      </c>
      <c r="AI54" s="7">
        <f t="shared" si="3"/>
        <v>0</v>
      </c>
      <c r="AJ54" s="7">
        <f t="shared" si="4"/>
        <v>0</v>
      </c>
      <c r="AK54" s="7">
        <f t="shared" si="5"/>
        <v>0</v>
      </c>
      <c r="AL54" s="12">
        <f t="shared" si="9"/>
        <v>0</v>
      </c>
      <c r="AM54" s="14" t="str">
        <f t="shared" si="7"/>
        <v>Unknown</v>
      </c>
      <c r="AP54" s="10" t="s">
        <v>184</v>
      </c>
    </row>
    <row r="55" spans="1:42" ht="16">
      <c r="A55" s="59">
        <v>44811</v>
      </c>
      <c r="C55" s="10">
        <v>8300108</v>
      </c>
      <c r="D55" s="10" t="s">
        <v>93</v>
      </c>
      <c r="E55" s="11">
        <v>9</v>
      </c>
      <c r="F55" s="39">
        <v>575356.84552120697</v>
      </c>
      <c r="G55" s="39">
        <v>6152461.8224209696</v>
      </c>
      <c r="H55" s="11" t="s">
        <v>167</v>
      </c>
      <c r="I55" s="11" t="s">
        <v>209</v>
      </c>
      <c r="K55" s="11" t="s">
        <v>196</v>
      </c>
      <c r="L55" s="10" t="s">
        <v>98</v>
      </c>
      <c r="M55" s="10" t="s">
        <v>103</v>
      </c>
      <c r="N55" s="21">
        <v>0.5</v>
      </c>
      <c r="O55" s="21">
        <v>14</v>
      </c>
      <c r="P55" s="10" t="s">
        <v>96</v>
      </c>
      <c r="Q55" s="88"/>
      <c r="R55" s="10" t="s">
        <v>96</v>
      </c>
      <c r="S55" s="10" t="s">
        <v>96</v>
      </c>
      <c r="T55" s="88"/>
      <c r="U55" s="21">
        <v>1</v>
      </c>
      <c r="V55" s="10">
        <v>0.1</v>
      </c>
      <c r="W55" s="21">
        <v>0.3</v>
      </c>
      <c r="X55" s="10" t="s">
        <v>96</v>
      </c>
      <c r="Y55" s="21">
        <v>3</v>
      </c>
      <c r="Z55" s="21">
        <v>1.9</v>
      </c>
      <c r="AA55" s="10">
        <v>2.5</v>
      </c>
      <c r="AB55" s="10" t="s">
        <v>96</v>
      </c>
      <c r="AC55" s="10" t="s">
        <v>102</v>
      </c>
      <c r="AD55" s="10" t="s">
        <v>104</v>
      </c>
      <c r="AE55" s="10" t="s">
        <v>105</v>
      </c>
      <c r="AF55" s="20">
        <f t="shared" si="8"/>
        <v>3.8</v>
      </c>
      <c r="AG55" s="13">
        <f t="shared" si="1"/>
        <v>0</v>
      </c>
      <c r="AH55" s="7">
        <f t="shared" si="2"/>
        <v>10</v>
      </c>
      <c r="AI55" s="7">
        <f t="shared" si="3"/>
        <v>0</v>
      </c>
      <c r="AJ55" s="7">
        <f t="shared" si="4"/>
        <v>10</v>
      </c>
      <c r="AK55" s="7">
        <f t="shared" si="5"/>
        <v>6</v>
      </c>
      <c r="AL55" s="12">
        <f t="shared" si="9"/>
        <v>26</v>
      </c>
      <c r="AM55" s="14" t="str">
        <f t="shared" si="7"/>
        <v>Barrier</v>
      </c>
      <c r="AN55" s="10" t="s">
        <v>215</v>
      </c>
      <c r="AO55" s="21">
        <v>3</v>
      </c>
      <c r="AP55" s="10" t="s">
        <v>168</v>
      </c>
    </row>
    <row r="56" spans="1:42" ht="32">
      <c r="A56" s="59">
        <v>44810</v>
      </c>
      <c r="C56" s="10">
        <v>8302755</v>
      </c>
      <c r="D56" s="10" t="s">
        <v>138</v>
      </c>
      <c r="E56" s="11">
        <v>9</v>
      </c>
      <c r="F56" s="39">
        <v>534422.15518482297</v>
      </c>
      <c r="G56" s="39">
        <v>6178964.8854749901</v>
      </c>
      <c r="H56" s="11" t="s">
        <v>169</v>
      </c>
      <c r="I56" s="11" t="s">
        <v>170</v>
      </c>
      <c r="K56" s="11" t="s">
        <v>205</v>
      </c>
      <c r="L56" s="10" t="s">
        <v>95</v>
      </c>
      <c r="M56" s="10" t="s">
        <v>101</v>
      </c>
      <c r="N56" s="21">
        <v>9</v>
      </c>
      <c r="O56" s="21">
        <v>5.5</v>
      </c>
      <c r="P56" s="86"/>
      <c r="Q56" s="88"/>
      <c r="R56" s="86"/>
      <c r="S56" s="86"/>
      <c r="T56" s="88"/>
      <c r="U56" s="88"/>
      <c r="V56" s="86"/>
      <c r="W56" s="88"/>
      <c r="X56" s="86"/>
      <c r="Y56" s="88"/>
      <c r="Z56" s="88"/>
      <c r="AA56" s="86"/>
      <c r="AB56" s="10" t="s">
        <v>96</v>
      </c>
      <c r="AC56" s="10" t="s">
        <v>96</v>
      </c>
      <c r="AD56" s="86"/>
      <c r="AE56" s="86"/>
      <c r="AF56" s="20">
        <f t="shared" si="8"/>
        <v>0</v>
      </c>
      <c r="AG56" s="13">
        <f t="shared" si="1"/>
        <v>0</v>
      </c>
      <c r="AH56" s="7">
        <f t="shared" si="2"/>
        <v>0</v>
      </c>
      <c r="AI56" s="7">
        <f t="shared" si="3"/>
        <v>0</v>
      </c>
      <c r="AJ56" s="7">
        <f t="shared" si="4"/>
        <v>0</v>
      </c>
      <c r="AK56" s="7">
        <f t="shared" si="5"/>
        <v>0</v>
      </c>
      <c r="AL56" s="12">
        <f t="shared" si="9"/>
        <v>0</v>
      </c>
      <c r="AM56" s="14" t="str">
        <f t="shared" si="7"/>
        <v>Passable</v>
      </c>
      <c r="AN56" s="86"/>
      <c r="AO56" s="88"/>
      <c r="AP56" s="10" t="s">
        <v>311</v>
      </c>
    </row>
    <row r="57" spans="1:42" ht="32">
      <c r="A57" s="59">
        <v>44810</v>
      </c>
      <c r="C57" s="10">
        <v>8302410</v>
      </c>
      <c r="D57" s="10" t="s">
        <v>138</v>
      </c>
      <c r="E57" s="11">
        <v>9</v>
      </c>
      <c r="F57" s="39">
        <v>553739.97230588202</v>
      </c>
      <c r="G57" s="39">
        <v>6161966.3651549499</v>
      </c>
      <c r="H57" s="11" t="s">
        <v>139</v>
      </c>
      <c r="I57" s="11" t="s">
        <v>212</v>
      </c>
      <c r="K57" s="11" t="s">
        <v>201</v>
      </c>
      <c r="L57" s="10" t="s">
        <v>95</v>
      </c>
      <c r="M57" s="10" t="s">
        <v>101</v>
      </c>
      <c r="N57" s="21">
        <v>15.5</v>
      </c>
      <c r="O57" s="21">
        <v>4.5</v>
      </c>
      <c r="P57" s="86"/>
      <c r="Q57" s="88"/>
      <c r="R57" s="86"/>
      <c r="S57" s="86"/>
      <c r="T57" s="88"/>
      <c r="U57" s="88"/>
      <c r="V57" s="86"/>
      <c r="W57" s="88"/>
      <c r="X57" s="86"/>
      <c r="Y57" s="88"/>
      <c r="Z57" s="88"/>
      <c r="AA57" s="86"/>
      <c r="AB57" s="10" t="s">
        <v>96</v>
      </c>
      <c r="AC57" s="10" t="s">
        <v>96</v>
      </c>
      <c r="AD57" s="86"/>
      <c r="AE57" s="86"/>
      <c r="AF57" s="20">
        <f t="shared" si="8"/>
        <v>0</v>
      </c>
      <c r="AG57" s="13">
        <f t="shared" si="1"/>
        <v>0</v>
      </c>
      <c r="AH57" s="7">
        <f t="shared" si="2"/>
        <v>0</v>
      </c>
      <c r="AI57" s="7">
        <f t="shared" si="3"/>
        <v>0</v>
      </c>
      <c r="AJ57" s="7">
        <f t="shared" si="4"/>
        <v>0</v>
      </c>
      <c r="AK57" s="7">
        <f t="shared" si="5"/>
        <v>0</v>
      </c>
      <c r="AL57" s="12">
        <f t="shared" si="9"/>
        <v>0</v>
      </c>
      <c r="AM57" s="14" t="str">
        <f t="shared" si="7"/>
        <v>Passable</v>
      </c>
      <c r="AN57" s="86"/>
      <c r="AO57" s="88"/>
      <c r="AP57" s="10" t="s">
        <v>312</v>
      </c>
    </row>
    <row r="58" spans="1:42" ht="16">
      <c r="A58" s="59">
        <v>44811</v>
      </c>
      <c r="C58" s="10">
        <v>8302779</v>
      </c>
      <c r="D58" s="10" t="s">
        <v>93</v>
      </c>
      <c r="E58" s="11">
        <v>9</v>
      </c>
      <c r="F58" s="39">
        <v>564361.86308897997</v>
      </c>
      <c r="G58" s="39">
        <v>6167112.8439104296</v>
      </c>
      <c r="H58" s="11" t="s">
        <v>171</v>
      </c>
      <c r="I58" s="11" t="s">
        <v>172</v>
      </c>
      <c r="K58" s="11" t="s">
        <v>199</v>
      </c>
      <c r="L58" s="10" t="s">
        <v>95</v>
      </c>
      <c r="M58" s="10" t="s">
        <v>101</v>
      </c>
      <c r="N58" s="21">
        <v>4</v>
      </c>
      <c r="O58" s="21">
        <v>3</v>
      </c>
      <c r="P58" s="86"/>
      <c r="Q58" s="88"/>
      <c r="R58" s="86"/>
      <c r="S58" s="86"/>
      <c r="T58" s="88"/>
      <c r="U58" s="88"/>
      <c r="V58" s="86"/>
      <c r="W58" s="88"/>
      <c r="X58" s="86"/>
      <c r="Y58" s="88"/>
      <c r="Z58" s="88"/>
      <c r="AA58" s="86"/>
      <c r="AB58" s="10" t="s">
        <v>96</v>
      </c>
      <c r="AC58" s="10" t="s">
        <v>96</v>
      </c>
      <c r="AD58" s="86"/>
      <c r="AE58" s="86"/>
      <c r="AF58" s="20">
        <f t="shared" si="8"/>
        <v>0</v>
      </c>
      <c r="AG58" s="13">
        <f t="shared" si="1"/>
        <v>0</v>
      </c>
      <c r="AH58" s="7">
        <f t="shared" si="2"/>
        <v>0</v>
      </c>
      <c r="AI58" s="7">
        <f t="shared" si="3"/>
        <v>0</v>
      </c>
      <c r="AJ58" s="7">
        <f t="shared" si="4"/>
        <v>0</v>
      </c>
      <c r="AK58" s="7">
        <f t="shared" si="5"/>
        <v>0</v>
      </c>
      <c r="AL58" s="12">
        <f t="shared" si="9"/>
        <v>0</v>
      </c>
      <c r="AM58" s="14" t="str">
        <f t="shared" si="7"/>
        <v>Passable</v>
      </c>
      <c r="AN58" s="86"/>
      <c r="AO58" s="88"/>
      <c r="AP58" s="10" t="s">
        <v>175</v>
      </c>
    </row>
    <row r="59" spans="1:42" ht="16">
      <c r="A59" s="59">
        <v>44811</v>
      </c>
      <c r="C59" s="10">
        <v>8301892</v>
      </c>
      <c r="D59" s="10" t="s">
        <v>93</v>
      </c>
      <c r="E59" s="11">
        <v>9</v>
      </c>
      <c r="F59" s="39">
        <v>569230.10432952899</v>
      </c>
      <c r="G59" s="39">
        <v>6166554.36250732</v>
      </c>
      <c r="H59" s="11" t="s">
        <v>173</v>
      </c>
      <c r="I59" s="11" t="s">
        <v>174</v>
      </c>
      <c r="K59" s="11" t="s">
        <v>199</v>
      </c>
      <c r="L59" s="10" t="s">
        <v>95</v>
      </c>
      <c r="M59" s="10" t="s">
        <v>101</v>
      </c>
      <c r="N59" s="21">
        <v>3.5</v>
      </c>
      <c r="O59" s="21">
        <v>6</v>
      </c>
      <c r="P59" s="86"/>
      <c r="Q59" s="88"/>
      <c r="R59" s="86"/>
      <c r="S59" s="86"/>
      <c r="T59" s="88"/>
      <c r="U59" s="88"/>
      <c r="V59" s="86"/>
      <c r="W59" s="88"/>
      <c r="X59" s="86"/>
      <c r="Y59" s="88"/>
      <c r="Z59" s="88"/>
      <c r="AA59" s="86"/>
      <c r="AB59" s="10" t="s">
        <v>96</v>
      </c>
      <c r="AC59" s="10" t="s">
        <v>96</v>
      </c>
      <c r="AD59" s="86"/>
      <c r="AE59" s="86"/>
      <c r="AF59" s="20">
        <f t="shared" si="8"/>
        <v>0</v>
      </c>
      <c r="AG59" s="13">
        <f t="shared" si="1"/>
        <v>0</v>
      </c>
      <c r="AH59" s="7">
        <f t="shared" si="2"/>
        <v>0</v>
      </c>
      <c r="AI59" s="7">
        <f t="shared" si="3"/>
        <v>0</v>
      </c>
      <c r="AJ59" s="7">
        <f t="shared" si="4"/>
        <v>0</v>
      </c>
      <c r="AK59" s="7">
        <f t="shared" si="5"/>
        <v>0</v>
      </c>
      <c r="AL59" s="12">
        <f t="shared" si="9"/>
        <v>0</v>
      </c>
      <c r="AM59" s="14" t="str">
        <f t="shared" si="7"/>
        <v>Passable</v>
      </c>
      <c r="AN59" s="86"/>
      <c r="AO59" s="88"/>
      <c r="AP59" s="10" t="s">
        <v>313</v>
      </c>
    </row>
    <row r="60" spans="1:42" ht="48">
      <c r="A60" s="59">
        <v>44813</v>
      </c>
      <c r="C60" s="10">
        <v>8302212</v>
      </c>
      <c r="D60" s="10" t="s">
        <v>138</v>
      </c>
      <c r="E60" s="11">
        <v>9</v>
      </c>
      <c r="F60" s="39">
        <v>550746.79350392602</v>
      </c>
      <c r="G60" s="39">
        <v>6141256.4392585102</v>
      </c>
      <c r="H60" s="11" t="s">
        <v>176</v>
      </c>
      <c r="I60" s="11" t="s">
        <v>163</v>
      </c>
      <c r="K60" s="11" t="s">
        <v>206</v>
      </c>
      <c r="L60" s="10" t="s">
        <v>95</v>
      </c>
      <c r="M60" s="10" t="s">
        <v>101</v>
      </c>
      <c r="N60" s="21">
        <v>14</v>
      </c>
      <c r="O60" s="21">
        <v>5</v>
      </c>
      <c r="AB60" s="10" t="s">
        <v>96</v>
      </c>
      <c r="AC60" s="10" t="s">
        <v>96</v>
      </c>
      <c r="AF60" s="20">
        <f t="shared" si="8"/>
        <v>0</v>
      </c>
      <c r="AG60" s="13">
        <f t="shared" si="1"/>
        <v>0</v>
      </c>
      <c r="AH60" s="7">
        <f t="shared" si="2"/>
        <v>0</v>
      </c>
      <c r="AI60" s="7">
        <f t="shared" si="3"/>
        <v>0</v>
      </c>
      <c r="AJ60" s="7">
        <f t="shared" si="4"/>
        <v>0</v>
      </c>
      <c r="AK60" s="7">
        <f t="shared" si="5"/>
        <v>0</v>
      </c>
      <c r="AL60" s="12">
        <f t="shared" si="9"/>
        <v>0</v>
      </c>
      <c r="AM60" s="14" t="str">
        <f t="shared" si="7"/>
        <v>Passable</v>
      </c>
      <c r="AN60" s="86"/>
      <c r="AO60" s="88"/>
      <c r="AP60" s="10" t="s">
        <v>177</v>
      </c>
    </row>
    <row r="61" spans="1:42" ht="32">
      <c r="A61" s="59">
        <v>44813</v>
      </c>
      <c r="C61" s="10">
        <v>8301994</v>
      </c>
      <c r="D61" s="10" t="s">
        <v>180</v>
      </c>
      <c r="E61" s="11">
        <v>9</v>
      </c>
      <c r="F61" s="39">
        <v>550299.97770000005</v>
      </c>
      <c r="G61" s="39">
        <v>6140708.1220000004</v>
      </c>
      <c r="H61" s="11" t="s">
        <v>129</v>
      </c>
      <c r="I61" s="11" t="s">
        <v>135</v>
      </c>
      <c r="K61" s="11" t="s">
        <v>207</v>
      </c>
      <c r="L61" s="10" t="s">
        <v>98</v>
      </c>
      <c r="M61" s="10" t="s">
        <v>103</v>
      </c>
      <c r="N61" s="21">
        <v>0.85</v>
      </c>
      <c r="O61" s="21">
        <v>10</v>
      </c>
      <c r="P61" s="10" t="s">
        <v>96</v>
      </c>
      <c r="Q61" s="88"/>
      <c r="R61" s="10" t="s">
        <v>96</v>
      </c>
      <c r="S61" s="10" t="s">
        <v>96</v>
      </c>
      <c r="T61" s="88"/>
      <c r="U61" s="21">
        <v>0.45</v>
      </c>
      <c r="V61" s="10">
        <v>0.24</v>
      </c>
      <c r="W61" s="21">
        <v>0.22</v>
      </c>
      <c r="X61" s="10" t="s">
        <v>96</v>
      </c>
      <c r="Y61" s="21">
        <v>3.5</v>
      </c>
      <c r="Z61" s="21">
        <v>2.2999999999999998</v>
      </c>
      <c r="AA61" s="10">
        <v>1</v>
      </c>
      <c r="AB61" s="10" t="s">
        <v>96</v>
      </c>
      <c r="AC61" s="10" t="s">
        <v>96</v>
      </c>
      <c r="AD61" s="10" t="s">
        <v>104</v>
      </c>
      <c r="AE61" s="10" t="s">
        <v>130</v>
      </c>
      <c r="AF61" s="20">
        <f t="shared" si="8"/>
        <v>2.7058823529411762</v>
      </c>
      <c r="AG61" s="13">
        <f t="shared" si="1"/>
        <v>0</v>
      </c>
      <c r="AH61" s="7">
        <f t="shared" si="2"/>
        <v>10</v>
      </c>
      <c r="AI61" s="7">
        <f t="shared" si="3"/>
        <v>5</v>
      </c>
      <c r="AJ61" s="7">
        <f t="shared" si="4"/>
        <v>10</v>
      </c>
      <c r="AK61" s="7">
        <f t="shared" si="5"/>
        <v>6</v>
      </c>
      <c r="AL61" s="12">
        <f t="shared" si="9"/>
        <v>31</v>
      </c>
      <c r="AM61" s="14" t="str">
        <f t="shared" si="7"/>
        <v>Barrier</v>
      </c>
      <c r="AN61" s="10" t="s">
        <v>216</v>
      </c>
      <c r="AO61" s="21">
        <v>10</v>
      </c>
      <c r="AP61" s="10" t="s">
        <v>194</v>
      </c>
    </row>
    <row r="62" spans="1:42" ht="32">
      <c r="A62" s="59">
        <v>44817</v>
      </c>
      <c r="C62" s="10">
        <v>4600909</v>
      </c>
      <c r="D62" s="10" t="s">
        <v>178</v>
      </c>
      <c r="E62" s="11">
        <v>9</v>
      </c>
      <c r="F62" s="39">
        <v>598446.833753363</v>
      </c>
      <c r="G62" s="39">
        <v>6071180.6226790501</v>
      </c>
      <c r="H62" s="11" t="s">
        <v>192</v>
      </c>
      <c r="I62" s="11" t="s">
        <v>193</v>
      </c>
      <c r="K62" s="11" t="s">
        <v>204</v>
      </c>
      <c r="L62" s="10" t="s">
        <v>95</v>
      </c>
      <c r="M62" s="10" t="s">
        <v>101</v>
      </c>
      <c r="N62" s="21">
        <v>9.8000000000000007</v>
      </c>
      <c r="O62" s="21">
        <v>4.9000000000000004</v>
      </c>
      <c r="P62" s="86"/>
      <c r="Q62" s="88"/>
      <c r="R62" s="86"/>
      <c r="S62" s="86"/>
      <c r="T62" s="88"/>
      <c r="U62" s="88"/>
      <c r="V62" s="86"/>
      <c r="W62" s="88"/>
      <c r="X62" s="86"/>
      <c r="Y62" s="88"/>
      <c r="Z62" s="88"/>
      <c r="AA62" s="86"/>
      <c r="AB62" s="10" t="s">
        <v>96</v>
      </c>
      <c r="AC62" s="10" t="s">
        <v>96</v>
      </c>
      <c r="AD62" s="86"/>
      <c r="AE62" s="86"/>
      <c r="AF62" s="20">
        <f t="shared" si="8"/>
        <v>0</v>
      </c>
      <c r="AG62" s="13">
        <f t="shared" si="1"/>
        <v>0</v>
      </c>
      <c r="AH62" s="7">
        <f t="shared" si="2"/>
        <v>0</v>
      </c>
      <c r="AI62" s="7">
        <f t="shared" si="3"/>
        <v>0</v>
      </c>
      <c r="AJ62" s="7">
        <f t="shared" si="4"/>
        <v>0</v>
      </c>
      <c r="AK62" s="7">
        <f t="shared" si="5"/>
        <v>0</v>
      </c>
      <c r="AL62" s="12">
        <f t="shared" si="9"/>
        <v>0</v>
      </c>
      <c r="AM62" s="14" t="str">
        <f t="shared" si="7"/>
        <v>Passable</v>
      </c>
      <c r="AN62" s="86"/>
      <c r="AO62" s="88"/>
      <c r="AP62" s="90" t="s">
        <v>181</v>
      </c>
    </row>
    <row r="63" spans="1:42" ht="16">
      <c r="A63" s="59">
        <v>44817</v>
      </c>
      <c r="C63" s="10">
        <v>4600907</v>
      </c>
      <c r="D63" s="10" t="s">
        <v>178</v>
      </c>
      <c r="E63" s="11">
        <v>9</v>
      </c>
      <c r="F63" s="39">
        <v>604915.29773594695</v>
      </c>
      <c r="G63" s="39">
        <v>6070603.25602197</v>
      </c>
      <c r="H63" s="11" t="s">
        <v>179</v>
      </c>
      <c r="I63" s="11" t="s">
        <v>193</v>
      </c>
      <c r="K63" s="11" t="s">
        <v>204</v>
      </c>
      <c r="L63" s="10" t="s">
        <v>95</v>
      </c>
      <c r="M63" s="10" t="s">
        <v>101</v>
      </c>
      <c r="N63" s="21">
        <v>10</v>
      </c>
      <c r="O63" s="21">
        <v>4.9000000000000004</v>
      </c>
      <c r="P63" s="86"/>
      <c r="Q63" s="88"/>
      <c r="R63" s="86"/>
      <c r="S63" s="86"/>
      <c r="T63" s="88"/>
      <c r="U63" s="88"/>
      <c r="V63" s="86"/>
      <c r="W63" s="88"/>
      <c r="X63" s="86"/>
      <c r="Y63" s="88"/>
      <c r="Z63" s="88"/>
      <c r="AA63" s="86"/>
      <c r="AB63" s="10" t="s">
        <v>96</v>
      </c>
      <c r="AC63" s="10" t="s">
        <v>96</v>
      </c>
      <c r="AD63" s="86"/>
      <c r="AE63" s="86"/>
      <c r="AF63" s="20">
        <f t="shared" si="8"/>
        <v>0</v>
      </c>
      <c r="AG63" s="13">
        <f t="shared" si="1"/>
        <v>0</v>
      </c>
      <c r="AH63" s="7">
        <f t="shared" si="2"/>
        <v>0</v>
      </c>
      <c r="AI63" s="7">
        <f t="shared" si="3"/>
        <v>0</v>
      </c>
      <c r="AJ63" s="7">
        <f t="shared" si="4"/>
        <v>0</v>
      </c>
      <c r="AK63" s="7">
        <f t="shared" si="5"/>
        <v>0</v>
      </c>
      <c r="AL63" s="12">
        <f t="shared" si="9"/>
        <v>0</v>
      </c>
      <c r="AM63" s="14" t="str">
        <f t="shared" si="7"/>
        <v>Passable</v>
      </c>
      <c r="AN63" s="86"/>
      <c r="AO63" s="88"/>
      <c r="AP63" s="90" t="s">
        <v>182</v>
      </c>
    </row>
    <row r="64" spans="1:42" ht="16">
      <c r="A64" s="59">
        <v>44817</v>
      </c>
      <c r="C64" s="10">
        <v>4742005</v>
      </c>
      <c r="D64" s="10" t="s">
        <v>178</v>
      </c>
      <c r="E64" s="11">
        <v>9</v>
      </c>
      <c r="F64" s="39">
        <v>605308.379158522</v>
      </c>
      <c r="G64" s="39">
        <v>6069772.6640846301</v>
      </c>
      <c r="H64" s="11" t="s">
        <v>191</v>
      </c>
      <c r="I64" s="11" t="s">
        <v>193</v>
      </c>
      <c r="J64" s="22">
        <v>7</v>
      </c>
      <c r="K64" s="11" t="s">
        <v>204</v>
      </c>
      <c r="L64" s="10" t="s">
        <v>95</v>
      </c>
      <c r="M64" s="10" t="s">
        <v>101</v>
      </c>
      <c r="N64" s="21">
        <v>6</v>
      </c>
      <c r="O64" s="21">
        <v>4.5</v>
      </c>
      <c r="P64" s="86"/>
      <c r="Q64" s="88"/>
      <c r="R64" s="86"/>
      <c r="S64" s="86"/>
      <c r="T64" s="88"/>
      <c r="U64" s="88"/>
      <c r="V64" s="86"/>
      <c r="W64" s="88"/>
      <c r="X64" s="86"/>
      <c r="Y64" s="88"/>
      <c r="Z64" s="88"/>
      <c r="AA64" s="86"/>
      <c r="AB64" s="10" t="s">
        <v>96</v>
      </c>
      <c r="AC64" s="10" t="s">
        <v>96</v>
      </c>
      <c r="AD64" s="86"/>
      <c r="AE64" s="86"/>
      <c r="AF64" s="20">
        <f t="shared" si="8"/>
        <v>0</v>
      </c>
      <c r="AG64" s="13">
        <f t="shared" si="1"/>
        <v>0</v>
      </c>
      <c r="AH64" s="7">
        <f t="shared" si="2"/>
        <v>0</v>
      </c>
      <c r="AI64" s="7">
        <f t="shared" si="3"/>
        <v>0</v>
      </c>
      <c r="AJ64" s="7">
        <f t="shared" si="4"/>
        <v>0</v>
      </c>
      <c r="AK64" s="7">
        <f t="shared" si="5"/>
        <v>0</v>
      </c>
      <c r="AL64" s="12">
        <f t="shared" si="9"/>
        <v>0</v>
      </c>
      <c r="AM64" s="14" t="str">
        <f t="shared" si="7"/>
        <v>Passable</v>
      </c>
      <c r="AN64" s="86"/>
      <c r="AO64" s="88"/>
      <c r="AP64" s="90" t="s">
        <v>183</v>
      </c>
    </row>
    <row r="65" spans="1:42" ht="32">
      <c r="A65" s="59">
        <v>44813</v>
      </c>
      <c r="C65" s="10">
        <v>8300090</v>
      </c>
      <c r="D65" s="10" t="s">
        <v>180</v>
      </c>
      <c r="E65" s="11">
        <v>9</v>
      </c>
      <c r="F65" s="39">
        <v>558928.26509999996</v>
      </c>
      <c r="G65" s="39">
        <v>6126835.7699999996</v>
      </c>
      <c r="H65" s="11" t="s">
        <v>189</v>
      </c>
      <c r="I65" s="11" t="s">
        <v>190</v>
      </c>
      <c r="K65" s="11" t="s">
        <v>200</v>
      </c>
      <c r="L65" s="10" t="s">
        <v>98</v>
      </c>
      <c r="M65" s="10" t="s">
        <v>103</v>
      </c>
      <c r="N65" s="21">
        <v>3.8</v>
      </c>
      <c r="O65" s="21">
        <v>25</v>
      </c>
      <c r="P65" s="10" t="s">
        <v>102</v>
      </c>
      <c r="Q65" s="21">
        <v>2.16</v>
      </c>
      <c r="R65" s="10" t="s">
        <v>102</v>
      </c>
      <c r="S65" s="10" t="s">
        <v>96</v>
      </c>
      <c r="T65" s="88"/>
      <c r="U65" s="21">
        <v>2</v>
      </c>
      <c r="V65" s="10">
        <v>0</v>
      </c>
      <c r="W65" s="21">
        <v>0</v>
      </c>
      <c r="X65" s="10" t="s">
        <v>96</v>
      </c>
      <c r="Y65" s="21">
        <v>2</v>
      </c>
      <c r="Z65" s="21">
        <v>2.6</v>
      </c>
      <c r="AA65" s="10">
        <v>2</v>
      </c>
      <c r="AB65" s="10" t="s">
        <v>102</v>
      </c>
      <c r="AC65" s="10" t="s">
        <v>96</v>
      </c>
      <c r="AD65" s="10" t="s">
        <v>104</v>
      </c>
      <c r="AE65" s="10" t="s">
        <v>130</v>
      </c>
      <c r="AF65" s="20">
        <f t="shared" si="8"/>
        <v>0.68421052631578949</v>
      </c>
      <c r="AG65" s="13">
        <f t="shared" si="1"/>
        <v>3</v>
      </c>
      <c r="AH65" s="7">
        <f t="shared" si="2"/>
        <v>0</v>
      </c>
      <c r="AI65" s="7">
        <f t="shared" si="3"/>
        <v>0</v>
      </c>
      <c r="AJ65" s="7">
        <f t="shared" si="4"/>
        <v>5</v>
      </c>
      <c r="AK65" s="7">
        <f t="shared" si="5"/>
        <v>0</v>
      </c>
      <c r="AL65" s="12">
        <f t="shared" si="9"/>
        <v>8</v>
      </c>
      <c r="AM65" s="14" t="str">
        <f t="shared" si="7"/>
        <v>Passable</v>
      </c>
      <c r="AN65" s="86"/>
      <c r="AO65" s="88"/>
      <c r="AP65" s="10" t="s">
        <v>314</v>
      </c>
    </row>
    <row r="66" spans="1:42">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42">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42">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42">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42">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42">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42">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42">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42">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42">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tewLqRoS3JDly4ETMajzEblDLZjZrZ/zuHgH7k6HsWrfnRMgGkij1pa/eJ7mSmXVYqQqBhdE3AkE7HfOLw4PFA==" saltValue="EQgapUA5DGeqikpEBIall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6">
    <dataValidation type="list" allowBlank="1" showInputMessage="1" showErrorMessage="1" sqref="AM5284:AM65536" xr:uid="{00000000-0002-0000-0200-000000000000}">
      <formula1>"Passable, Potential, Barrier, Unkown"</formula1>
    </dataValidation>
    <dataValidation type="list" allowBlank="1" showInputMessage="1" showErrorMessage="1" sqref="M37 M60:M61 M6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66: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60:N61 N6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Q49 Q44 Q30 Q28 Q23"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Q29"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N51:N53 N56:N59 N62:N64"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M48 M5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M51:M53 M56:M59 M62:M64" xr:uid="{1C3F55A0-5F3C-44F3-B697-980F8E6DC961}">
      <formula1>"Bridge, Pipe Arch, Wood Box Culvert"</formula1>
    </dataValidation>
    <dataValidation type="list" allowBlank="1" showInputMessage="1" showErrorMessage="1" errorTitle="Invalid value entered" error="The crossing subtype is not compatible with a crossing type of Closed Bottom Structure" sqref="M15:M35 M7:M13 M49:M50 M38:M47 M55 M65"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50 N54:N55 N65"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decimal" allowBlank="1" showInputMessage="1" showErrorMessage="1" errorTitle="Invalid value entered" error="The Average Depth Embededdment you entered is invalid. The Average Depth Embededdment must be &lt;= 3.79 and &gt;= 0.01" sqref="Q54 Q65 Q47" xr:uid="{7A794850-7E3A-4C01-89D3-BAA7EDF2CD06}">
      <formula1>0.01</formula1>
      <formula2>3.79</formula2>
    </dataValidation>
    <dataValidation type="textLength" allowBlank="1" showInputMessage="1" showErrorMessage="1" errorTitle="Invalid Comment Length" error="The Comment length cannot exceed 4000 characters." sqref="AP5:AP53 AP55: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3.99 and &gt;= 0.01" sqref="Q6 Q58" xr:uid="{9A65B31F-B4C0-414F-93EE-6C8CCF7ACC01}">
      <formula1>0.01</formula1>
      <formula2>3.99</formula2>
    </dataValidation>
    <dataValidation type="decimal" allowBlank="1" showInputMessage="1" showErrorMessage="1" errorTitle="Invalid value entered" error="The Average Depth Embededdment you entered is invalid. The Average Depth Embededdment must be &lt;= 0.89 and &gt;= 0.01" sqref="Q7 Q32:Q34 Q21:Q22" xr:uid="{2E7799CC-75D3-437B-BE27-4D740BFFABD7}">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43 Q24 Q17 Q15 Q8:Q9" xr:uid="{B471ECE9-6A87-4947-BCC3-DFD40493B92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Q11" xr:uid="{1E312468-1D04-476D-8CA3-7E015A068506}">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C95EE510-1D3B-4D51-BE01-208F412F6D36}">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1BB3F49F-C22B-49B2-8007-CE5DD984D534}">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16 Q55 Q38" xr:uid="{2783DC9E-ED1C-4C5B-A3A5-EF01E6305B05}">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7 Q18:Q19" xr:uid="{E6796A6E-06C2-474D-82AB-73CDFC1CAB83}">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Q31" xr:uid="{1AC65438-FAB3-4AEB-A837-42BE63624E02}">
      <formula1>0.01</formula1>
      <formula2>0.64</formula2>
    </dataValidation>
    <dataValidation type="decimal" allowBlank="1" showInputMessage="1" showErrorMessage="1" errorTitle="Invalid value entered" error="The Average Depth Embededdment you entered is invalid. The Average Depth Embededdment must be &lt;= 2.79 and &gt;= 0.01" sqref="Q25" xr:uid="{68892B3F-7B3F-4331-8859-61E2C2DE4782}">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4A9736DC-F325-414D-B0C3-D149D62EB274}">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35 Q46" xr:uid="{FA98CE46-EDD8-49CB-962D-A2C8EB02A1E9}">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Q64" xr:uid="{03E991CA-DD31-4C77-8DED-DAFA8422B0CF}">
      <formula1>0.01</formula1>
      <formula2>5.99</formula2>
    </dataValidation>
    <dataValidation type="decimal" allowBlank="1" showInputMessage="1" showErrorMessage="1" errorTitle="Invalid value entered" error="The Average Depth Embededdment you entered is invalid. The Average Depth Embededdment must be &lt;= 3.89 and &gt;= 0.01" sqref="Q37" xr:uid="{41D80BAA-3FAF-45ED-8021-F50161EE2933}">
      <formula1>0.01</formula1>
      <formula2>3.89</formula2>
    </dataValidation>
    <dataValidation type="decimal" allowBlank="1" showInputMessage="1" showErrorMessage="1" errorTitle="Invalid value entered" error="The Average Depth Embededdment you entered is invalid. The Average Depth Embededdment must be &lt;= 0.94 and &gt;= 0.01" sqref="Q39" xr:uid="{6455DE34-CB50-4090-A9AA-DB3FACDDC51D}">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633356DD-62E6-484B-82F4-2A0731D175F4}">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41D5FF68-A3B2-4517-8E9F-500CCAF63673}">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38899231-703F-4619-8992-C4A60E91218C}">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45 Q51:Q53" xr:uid="{4709E484-62F3-4DFC-8E95-0E821C27D76C}">
      <formula1>0.01</formula1>
      <formula2>4.79</formula2>
    </dataValidation>
    <dataValidation type="decimal" allowBlank="1" showInputMessage="1" showErrorMessage="1" errorTitle="Invalid value entered" error="The Average Depth Embededdment you entered is invalid. The Average Depth Embededdment must be &lt;= 2.39 and &gt;= 0.01" sqref="Q50" xr:uid="{7ED9EAFD-8958-407E-AF30-440E46B23ACF}">
      <formula1>0.01</formula1>
      <formula2>2.39</formula2>
    </dataValidation>
    <dataValidation type="decimal" allowBlank="1" showInputMessage="1" showErrorMessage="1" errorTitle="Invalid value entered" error="The Average Depth Embededdment you entered is invalid. The Average Depth Embededdment must be &lt;= 8.99 and &gt;= 0.01" sqref="Q56" xr:uid="{2898F006-2AF5-403E-93C0-BCED7E7E67BE}">
      <formula1>0.01</formula1>
      <formula2>8.99</formula2>
    </dataValidation>
    <dataValidation type="decimal" allowBlank="1" showInputMessage="1" showErrorMessage="1" errorTitle="Invalid value entered" error="The Average Depth Embededdment you entered is invalid. The Average Depth Embededdment must be &lt;= 15.49 and &gt;= 0.01" sqref="Q57" xr:uid="{4B4162C1-1318-4950-9FB2-867BDA53BD57}">
      <formula1>0.01</formula1>
      <formula2>15.49</formula2>
    </dataValidation>
    <dataValidation type="decimal" allowBlank="1" showInputMessage="1" showErrorMessage="1" errorTitle="Invalid value entered" error="The Average Depth Embededdment you entered is invalid. The Average Depth Embededdment must be &lt;= 3.49 and &gt;= 0.01" sqref="Q59" xr:uid="{B8EA2F18-03EA-4790-9687-F7D503996764}">
      <formula1>0.01</formula1>
      <formula2>3.49</formula2>
    </dataValidation>
    <dataValidation type="decimal" allowBlank="1" showInputMessage="1" showErrorMessage="1" errorTitle="Invalid value entered" error="The Average Depth Embededdment you entered is invalid. The Average Depth Embededdment must be &lt;= 13.99 and &gt;= 0.01" sqref="Q60" xr:uid="{EE2217BA-3923-458C-BD85-D3C8733BE720}">
      <formula1>0.01</formula1>
      <formula2>13.99</formula2>
    </dataValidation>
    <dataValidation type="decimal" allowBlank="1" showInputMessage="1" showErrorMessage="1" errorTitle="Invalid value entered" error="The Average Depth Embededdment you entered is invalid. The Average Depth Embededdment must be &lt;= 0.84 and &gt;= 0.01" sqref="Q61" xr:uid="{5E0E857F-EA5C-451A-95B4-D9E4CCBC96F3}">
      <formula1>0.01</formula1>
      <formula2>0.84</formula2>
    </dataValidation>
    <dataValidation type="decimal" allowBlank="1" showInputMessage="1" showErrorMessage="1" errorTitle="Invalid value entered" error="The Average Depth Embededdment you entered is invalid. The Average Depth Embededdment must be &lt;= 9.79 and &gt;= 0.01" sqref="Q62" xr:uid="{85629C5B-226B-4874-96DD-FB446F43324B}">
      <formula1>0.01</formula1>
      <formula2>9.79</formula2>
    </dataValidation>
    <dataValidation type="decimal" allowBlank="1" showInputMessage="1" showErrorMessage="1" errorTitle="Invalid value entered" error="The Average Depth Embededdment you entered is invalid. The Average Depth Embededdment must be &lt;= 9.99 and &gt;= 0.01" sqref="Q63" xr:uid="{402CE491-ECEC-456B-AE25-C865A5B4692D}">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row r="2" spans="1:3" ht="32">
      <c r="A2" s="16" t="s">
        <v>224</v>
      </c>
      <c r="B2" s="16">
        <v>18</v>
      </c>
      <c r="C2" s="17" t="s">
        <v>225</v>
      </c>
    </row>
    <row r="3" spans="1:3" ht="32">
      <c r="A3" s="16" t="s">
        <v>224</v>
      </c>
      <c r="B3" s="16">
        <v>18</v>
      </c>
      <c r="C3" s="17" t="s">
        <v>225</v>
      </c>
    </row>
    <row r="4" spans="1:3" ht="64">
      <c r="A4" s="16" t="s">
        <v>226</v>
      </c>
      <c r="B4" s="16">
        <v>5</v>
      </c>
      <c r="C4" s="17" t="s">
        <v>227</v>
      </c>
    </row>
    <row r="5" spans="1:3" ht="64">
      <c r="A5" s="16" t="s">
        <v>226</v>
      </c>
      <c r="B5" s="16">
        <v>6</v>
      </c>
      <c r="C5" s="17" t="s">
        <v>228</v>
      </c>
    </row>
    <row r="6" spans="1:3" ht="64">
      <c r="A6" s="16" t="s">
        <v>226</v>
      </c>
      <c r="B6" s="16">
        <v>7</v>
      </c>
      <c r="C6" s="17" t="s">
        <v>229</v>
      </c>
    </row>
    <row r="7" spans="1:3" ht="64">
      <c r="A7" s="16" t="s">
        <v>226</v>
      </c>
      <c r="B7" s="16">
        <v>8</v>
      </c>
      <c r="C7" s="17" t="s">
        <v>230</v>
      </c>
    </row>
    <row r="8" spans="1:3" ht="64">
      <c r="A8" s="16" t="s">
        <v>226</v>
      </c>
      <c r="B8" s="16">
        <v>9</v>
      </c>
      <c r="C8" s="17" t="s">
        <v>231</v>
      </c>
    </row>
    <row r="9" spans="1:3" ht="48">
      <c r="A9" s="16" t="s">
        <v>35</v>
      </c>
      <c r="B9" s="16">
        <v>10</v>
      </c>
      <c r="C9" s="17" t="s">
        <v>232</v>
      </c>
    </row>
    <row r="10" spans="1:3" ht="64">
      <c r="A10" s="16" t="s">
        <v>226</v>
      </c>
      <c r="B10" s="16">
        <v>10</v>
      </c>
      <c r="C10" s="17" t="s">
        <v>233</v>
      </c>
    </row>
    <row r="11" spans="1:3" ht="64">
      <c r="A11" s="16" t="s">
        <v>226</v>
      </c>
      <c r="B11" s="16">
        <v>11</v>
      </c>
      <c r="C11" s="17" t="s">
        <v>234</v>
      </c>
    </row>
    <row r="12" spans="1:3" ht="64">
      <c r="A12" s="16" t="s">
        <v>226</v>
      </c>
      <c r="B12" s="16">
        <v>12</v>
      </c>
      <c r="C12" s="17" t="s">
        <v>235</v>
      </c>
    </row>
    <row r="13" spans="1:3" ht="64">
      <c r="A13" s="16" t="s">
        <v>226</v>
      </c>
      <c r="B13" s="16">
        <v>13</v>
      </c>
      <c r="C13" s="17" t="s">
        <v>236</v>
      </c>
    </row>
    <row r="14" spans="1:3" ht="64">
      <c r="A14" s="16" t="s">
        <v>226</v>
      </c>
      <c r="B14" s="16">
        <v>14</v>
      </c>
      <c r="C14" s="17" t="s">
        <v>237</v>
      </c>
    </row>
    <row r="15" spans="1:3" ht="64">
      <c r="A15" s="16" t="s">
        <v>226</v>
      </c>
      <c r="B15" s="16">
        <v>15</v>
      </c>
      <c r="C15" s="17" t="s">
        <v>238</v>
      </c>
    </row>
    <row r="16" spans="1:3" ht="64">
      <c r="A16" s="16" t="s">
        <v>226</v>
      </c>
      <c r="B16" s="16">
        <v>16</v>
      </c>
      <c r="C16" s="17" t="s">
        <v>239</v>
      </c>
    </row>
    <row r="17" spans="1:3" ht="64">
      <c r="A17" s="16" t="s">
        <v>226</v>
      </c>
      <c r="B17" s="16">
        <v>17</v>
      </c>
      <c r="C17" s="17" t="s">
        <v>240</v>
      </c>
    </row>
    <row r="18" spans="1:3" ht="64">
      <c r="A18" s="16" t="s">
        <v>226</v>
      </c>
      <c r="B18" s="16">
        <v>18</v>
      </c>
      <c r="C18" s="17" t="s">
        <v>241</v>
      </c>
    </row>
    <row r="19" spans="1:3" ht="64">
      <c r="A19" s="16" t="s">
        <v>226</v>
      </c>
      <c r="B19" s="16">
        <v>19</v>
      </c>
      <c r="C19" s="17" t="s">
        <v>242</v>
      </c>
    </row>
    <row r="20" spans="1:3" ht="64">
      <c r="A20" s="16" t="s">
        <v>226</v>
      </c>
      <c r="B20" s="16">
        <v>20</v>
      </c>
      <c r="C20" s="17" t="s">
        <v>243</v>
      </c>
    </row>
    <row r="21" spans="1:3" ht="64">
      <c r="A21" s="16" t="s">
        <v>226</v>
      </c>
      <c r="B21" s="16">
        <v>21</v>
      </c>
      <c r="C21" s="17" t="s">
        <v>244</v>
      </c>
    </row>
    <row r="22" spans="1:3" ht="64">
      <c r="A22" s="16" t="s">
        <v>226</v>
      </c>
      <c r="B22" s="16">
        <v>22</v>
      </c>
      <c r="C22" s="17" t="s">
        <v>245</v>
      </c>
    </row>
    <row r="23" spans="1:3" ht="64">
      <c r="A23" s="16" t="s">
        <v>226</v>
      </c>
      <c r="B23" s="16">
        <v>23</v>
      </c>
      <c r="C23" s="17" t="s">
        <v>246</v>
      </c>
    </row>
    <row r="24" spans="1:3" ht="64">
      <c r="A24" s="16" t="s">
        <v>226</v>
      </c>
      <c r="B24" s="16">
        <v>24</v>
      </c>
      <c r="C24" s="17" t="s">
        <v>247</v>
      </c>
    </row>
    <row r="25" spans="1:3" ht="64">
      <c r="A25" s="16" t="s">
        <v>226</v>
      </c>
      <c r="B25" s="16">
        <v>25</v>
      </c>
      <c r="C25" s="17" t="s">
        <v>248</v>
      </c>
    </row>
    <row r="26" spans="1:3" ht="64">
      <c r="A26" s="16" t="s">
        <v>226</v>
      </c>
      <c r="B26" s="16">
        <v>26</v>
      </c>
      <c r="C26" s="17" t="s">
        <v>249</v>
      </c>
    </row>
    <row r="27" spans="1:3" ht="64">
      <c r="A27" s="16" t="s">
        <v>226</v>
      </c>
      <c r="B27" s="16">
        <v>27</v>
      </c>
      <c r="C27" s="17" t="s">
        <v>250</v>
      </c>
    </row>
    <row r="28" spans="1:3" ht="64">
      <c r="A28" s="16" t="s">
        <v>226</v>
      </c>
      <c r="B28" s="16">
        <v>28</v>
      </c>
      <c r="C28" s="17" t="s">
        <v>251</v>
      </c>
    </row>
    <row r="29" spans="1:3" ht="64">
      <c r="A29" s="16" t="s">
        <v>226</v>
      </c>
      <c r="B29" s="16">
        <v>29</v>
      </c>
      <c r="C29" s="17" t="s">
        <v>252</v>
      </c>
    </row>
    <row r="30" spans="1:3" ht="64">
      <c r="A30" s="16" t="s">
        <v>226</v>
      </c>
      <c r="B30" s="16">
        <v>30</v>
      </c>
      <c r="C30" s="17" t="s">
        <v>253</v>
      </c>
    </row>
    <row r="31" spans="1:3" ht="64">
      <c r="A31" s="16" t="s">
        <v>226</v>
      </c>
      <c r="B31" s="16">
        <v>31</v>
      </c>
      <c r="C31" s="17" t="s">
        <v>254</v>
      </c>
    </row>
    <row r="32" spans="1:3" ht="64">
      <c r="A32" s="16" t="s">
        <v>226</v>
      </c>
      <c r="B32" s="16">
        <v>32</v>
      </c>
      <c r="C32" s="17" t="s">
        <v>255</v>
      </c>
    </row>
    <row r="33" spans="1:3" ht="64">
      <c r="A33" s="16" t="s">
        <v>226</v>
      </c>
      <c r="B33" s="16">
        <v>33</v>
      </c>
      <c r="C33" s="17" t="s">
        <v>256</v>
      </c>
    </row>
    <row r="34" spans="1:3" ht="64">
      <c r="A34" s="16" t="s">
        <v>226</v>
      </c>
      <c r="B34" s="16">
        <v>34</v>
      </c>
      <c r="C34" s="17" t="s">
        <v>257</v>
      </c>
    </row>
    <row r="35" spans="1:3" ht="64">
      <c r="A35" s="16" t="s">
        <v>226</v>
      </c>
      <c r="B35" s="16">
        <v>35</v>
      </c>
      <c r="C35" s="17" t="s">
        <v>258</v>
      </c>
    </row>
    <row r="36" spans="1:3" ht="64">
      <c r="A36" s="16" t="s">
        <v>226</v>
      </c>
      <c r="B36" s="16">
        <v>36</v>
      </c>
      <c r="C36" s="17" t="s">
        <v>259</v>
      </c>
    </row>
    <row r="37" spans="1:3" ht="64">
      <c r="A37" s="16" t="s">
        <v>226</v>
      </c>
      <c r="B37" s="16">
        <v>37</v>
      </c>
      <c r="C37" s="17" t="s">
        <v>260</v>
      </c>
    </row>
    <row r="38" spans="1:3" ht="64">
      <c r="A38" s="16" t="s">
        <v>226</v>
      </c>
      <c r="B38" s="16">
        <v>38</v>
      </c>
      <c r="C38" s="17" t="s">
        <v>261</v>
      </c>
    </row>
    <row r="39" spans="1:3" ht="64">
      <c r="A39" s="16" t="s">
        <v>226</v>
      </c>
      <c r="B39" s="16">
        <v>39</v>
      </c>
      <c r="C39" s="17" t="s">
        <v>262</v>
      </c>
    </row>
    <row r="40" spans="1:3" ht="64">
      <c r="A40" s="16" t="s">
        <v>226</v>
      </c>
      <c r="B40" s="16">
        <v>40</v>
      </c>
      <c r="C40" s="17" t="s">
        <v>263</v>
      </c>
    </row>
    <row r="41" spans="1:3" ht="64">
      <c r="A41" s="16" t="s">
        <v>226</v>
      </c>
      <c r="B41" s="16">
        <v>41</v>
      </c>
      <c r="C41" s="17" t="s">
        <v>264</v>
      </c>
    </row>
    <row r="42" spans="1:3" ht="64">
      <c r="A42" s="16" t="s">
        <v>226</v>
      </c>
      <c r="B42" s="16">
        <v>42</v>
      </c>
      <c r="C42" s="17" t="s">
        <v>265</v>
      </c>
    </row>
    <row r="43" spans="1:3" ht="64">
      <c r="A43" s="16" t="s">
        <v>226</v>
      </c>
      <c r="B43" s="16">
        <v>43</v>
      </c>
      <c r="C43" s="17" t="s">
        <v>266</v>
      </c>
    </row>
    <row r="44" spans="1:3" ht="64">
      <c r="A44" s="16" t="s">
        <v>226</v>
      </c>
      <c r="B44" s="16">
        <v>44</v>
      </c>
      <c r="C44" s="17" t="s">
        <v>267</v>
      </c>
    </row>
    <row r="45" spans="1:3" ht="64">
      <c r="A45" s="16" t="s">
        <v>226</v>
      </c>
      <c r="B45" s="16">
        <v>45</v>
      </c>
      <c r="C45" s="17" t="s">
        <v>268</v>
      </c>
    </row>
    <row r="46" spans="1:3" ht="64">
      <c r="A46" s="16" t="s">
        <v>226</v>
      </c>
      <c r="B46" s="16">
        <v>46</v>
      </c>
      <c r="C46" s="17" t="s">
        <v>269</v>
      </c>
    </row>
    <row r="47" spans="1:3" ht="64">
      <c r="A47" s="16" t="s">
        <v>226</v>
      </c>
      <c r="B47" s="16">
        <v>47</v>
      </c>
      <c r="C47" s="17" t="s">
        <v>270</v>
      </c>
    </row>
    <row r="48" spans="1:3" ht="64">
      <c r="A48" s="16" t="s">
        <v>226</v>
      </c>
      <c r="B48" s="16">
        <v>48</v>
      </c>
      <c r="C48" s="17" t="s">
        <v>271</v>
      </c>
    </row>
    <row r="49" spans="1:3" ht="64">
      <c r="A49" s="16" t="s">
        <v>226</v>
      </c>
      <c r="B49" s="16">
        <v>49</v>
      </c>
      <c r="C49" s="17" t="s">
        <v>272</v>
      </c>
    </row>
    <row r="50" spans="1:3" ht="64">
      <c r="A50" s="16" t="s">
        <v>226</v>
      </c>
      <c r="B50" s="16">
        <v>50</v>
      </c>
      <c r="C50" s="17" t="s">
        <v>273</v>
      </c>
    </row>
    <row r="51" spans="1:3" ht="64">
      <c r="A51" s="16" t="s">
        <v>226</v>
      </c>
      <c r="B51" s="16">
        <v>51</v>
      </c>
      <c r="C51" s="17" t="s">
        <v>274</v>
      </c>
    </row>
    <row r="52" spans="1:3" ht="64">
      <c r="A52" s="16" t="s">
        <v>226</v>
      </c>
      <c r="B52" s="16">
        <v>52</v>
      </c>
      <c r="C52" s="17" t="s">
        <v>275</v>
      </c>
    </row>
    <row r="53" spans="1:3" ht="64">
      <c r="A53" s="16" t="s">
        <v>226</v>
      </c>
      <c r="B53" s="16">
        <v>53</v>
      </c>
      <c r="C53" s="17" t="s">
        <v>276</v>
      </c>
    </row>
    <row r="54" spans="1:3" ht="64">
      <c r="A54" s="16" t="s">
        <v>226</v>
      </c>
      <c r="B54" s="16">
        <v>54</v>
      </c>
      <c r="C54" s="17" t="s">
        <v>277</v>
      </c>
    </row>
    <row r="55" spans="1:3" ht="64">
      <c r="A55" s="16" t="s">
        <v>226</v>
      </c>
      <c r="B55" s="16">
        <v>55</v>
      </c>
      <c r="C55" s="17" t="s">
        <v>278</v>
      </c>
    </row>
    <row r="56" spans="1:3" ht="64">
      <c r="A56" s="16" t="s">
        <v>226</v>
      </c>
      <c r="B56" s="16">
        <v>56</v>
      </c>
      <c r="C56" s="17" t="s">
        <v>279</v>
      </c>
    </row>
    <row r="57" spans="1:3" ht="64">
      <c r="A57" s="16" t="s">
        <v>226</v>
      </c>
      <c r="B57" s="16">
        <v>57</v>
      </c>
      <c r="C57" s="17" t="s">
        <v>280</v>
      </c>
    </row>
    <row r="58" spans="1:3" ht="64">
      <c r="A58" s="16" t="s">
        <v>226</v>
      </c>
      <c r="B58" s="16">
        <v>58</v>
      </c>
      <c r="C58" s="17" t="s">
        <v>281</v>
      </c>
    </row>
    <row r="59" spans="1:3" ht="64">
      <c r="A59" s="16" t="s">
        <v>226</v>
      </c>
      <c r="B59" s="16">
        <v>59</v>
      </c>
      <c r="C59" s="17" t="s">
        <v>282</v>
      </c>
    </row>
    <row r="60" spans="1:3" ht="64">
      <c r="A60" s="16" t="s">
        <v>226</v>
      </c>
      <c r="B60" s="16">
        <v>60</v>
      </c>
      <c r="C60" s="17" t="s">
        <v>283</v>
      </c>
    </row>
    <row r="61" spans="1:3" ht="64">
      <c r="A61" s="16" t="s">
        <v>226</v>
      </c>
      <c r="B61" s="16">
        <v>61</v>
      </c>
      <c r="C61" s="17" t="s">
        <v>284</v>
      </c>
    </row>
    <row r="62" spans="1:3" ht="64">
      <c r="A62" s="16" t="s">
        <v>226</v>
      </c>
      <c r="B62" s="16">
        <v>62</v>
      </c>
      <c r="C62" s="17" t="s">
        <v>285</v>
      </c>
    </row>
    <row r="63" spans="1:3" ht="64">
      <c r="A63" s="16" t="s">
        <v>226</v>
      </c>
      <c r="B63" s="16">
        <v>63</v>
      </c>
      <c r="C63" s="17" t="s">
        <v>286</v>
      </c>
    </row>
    <row r="64" spans="1:3" ht="64">
      <c r="A64" s="16" t="s">
        <v>226</v>
      </c>
      <c r="B64" s="16">
        <v>64</v>
      </c>
      <c r="C64" s="17" t="s">
        <v>287</v>
      </c>
    </row>
    <row r="65" spans="1:3" ht="64">
      <c r="A65" s="16" t="s">
        <v>226</v>
      </c>
      <c r="B65" s="16">
        <v>65</v>
      </c>
      <c r="C65" s="17" t="s">
        <v>288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2023-01-11T17:23:26Z</dcterms:modified>
</cp:coreProperties>
</file>