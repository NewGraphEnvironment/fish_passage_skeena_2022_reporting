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current\2022-049-sern-skeena-fish-passage\data\"/>
    </mc:Choice>
  </mc:AlternateContent>
  <xr:revisionPtr revIDLastSave="0" documentId="13_ncr:1_{F23DA766-7400-493F-B9A1-0776B94AC228}"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0" i="2"/>
  <c r="AM59" i="2"/>
  <c r="AM58" i="2"/>
  <c r="AM57" i="2"/>
  <c r="AM56" i="2"/>
  <c r="AM53" i="2"/>
  <c r="AM52" i="2"/>
  <c r="AM51" i="2"/>
  <c r="AM36"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c r="AJ5166" i="2"/>
  <c r="AI5166" i="2"/>
  <c r="AL5166" i="2" s="1"/>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s="1"/>
  <c r="AJ5058" i="2"/>
  <c r="AI5058" i="2"/>
  <c r="AH5058" i="2"/>
  <c r="AG5058" i="2"/>
  <c r="AF5058" i="2"/>
  <c r="AK5058" i="2"/>
  <c r="AJ5057" i="2"/>
  <c r="AL5057" i="2" s="1"/>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L9" i="2" s="1"/>
  <c r="AM9" i="2" s="1"/>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L43" i="2" s="1"/>
  <c r="AM43" i="2" s="1"/>
  <c r="AF44" i="2"/>
  <c r="AK44" i="2" s="1"/>
  <c r="AG44" i="2"/>
  <c r="AH44" i="2"/>
  <c r="AI44" i="2"/>
  <c r="AJ44" i="2"/>
  <c r="AF45" i="2"/>
  <c r="AK45" i="2" s="1"/>
  <c r="AG45" i="2"/>
  <c r="AH45" i="2"/>
  <c r="AI45" i="2"/>
  <c r="AJ45" i="2"/>
  <c r="AF46" i="2"/>
  <c r="AK46" i="2" s="1"/>
  <c r="AL46" i="2" s="1"/>
  <c r="AM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L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L253" i="2" s="1"/>
  <c r="AI253" i="2"/>
  <c r="AJ253" i="2"/>
  <c r="AF254" i="2"/>
  <c r="AK254" i="2" s="1"/>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s="1"/>
  <c r="AG595" i="2"/>
  <c r="AH595" i="2"/>
  <c r="AI595" i="2"/>
  <c r="AJ595" i="2"/>
  <c r="AF596" i="2"/>
  <c r="AK596" i="2" s="1"/>
  <c r="AG596" i="2"/>
  <c r="AH596" i="2"/>
  <c r="AI596" i="2"/>
  <c r="AJ596" i="2"/>
  <c r="AF597" i="2"/>
  <c r="AK597" i="2"/>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c r="AG703" i="2"/>
  <c r="AH703" i="2"/>
  <c r="AI703" i="2"/>
  <c r="AJ703" i="2"/>
  <c r="AF704" i="2"/>
  <c r="AK704" i="2" s="1"/>
  <c r="AG704" i="2"/>
  <c r="AH704" i="2"/>
  <c r="AI704" i="2"/>
  <c r="AJ704" i="2"/>
  <c r="AL704" i="2" s="1"/>
  <c r="AF705" i="2"/>
  <c r="AK705" i="2"/>
  <c r="AG705" i="2"/>
  <c r="AH705" i="2"/>
  <c r="AI705" i="2"/>
  <c r="AJ705" i="2"/>
  <c r="AF706" i="2"/>
  <c r="AK706" i="2"/>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J947" i="2"/>
  <c r="AF948" i="2"/>
  <c r="AK948" i="2" s="1"/>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c r="AL983" i="2" s="1"/>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L998" i="2" s="1"/>
  <c r="AI998" i="2"/>
  <c r="AJ998" i="2"/>
  <c r="AF999" i="2"/>
  <c r="AK999" i="2"/>
  <c r="AG999" i="2"/>
  <c r="AH999" i="2"/>
  <c r="AI999" i="2"/>
  <c r="AJ999" i="2"/>
  <c r="AF1000" i="2"/>
  <c r="AK1000" i="2"/>
  <c r="AG1000" i="2"/>
  <c r="AH1000" i="2"/>
  <c r="AI1000" i="2"/>
  <c r="AJ1000" i="2"/>
  <c r="AF1001" i="2"/>
  <c r="AK1001" i="2"/>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L1103" i="2" s="1"/>
  <c r="AJ1103" i="2"/>
  <c r="AF1104" i="2"/>
  <c r="AK1104" i="2" s="1"/>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s="1"/>
  <c r="AG1173" i="2"/>
  <c r="AH1173" i="2"/>
  <c r="AI1173" i="2"/>
  <c r="AL1173" i="2" s="1"/>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s="1"/>
  <c r="AL1183" i="2" s="1"/>
  <c r="AG1183" i="2"/>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L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L1509" i="2" s="1"/>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L1588" i="2" s="1"/>
  <c r="AG1588" i="2"/>
  <c r="AH1588" i="2"/>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L1633" i="2" s="1"/>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L1883" i="2" s="1"/>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L2149" i="2" s="1"/>
  <c r="AG2149" i="2"/>
  <c r="AH2149" i="2"/>
  <c r="AI2149" i="2"/>
  <c r="AJ2149" i="2"/>
  <c r="AF2150" i="2"/>
  <c r="AK2150" i="2" s="1"/>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s="1"/>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L2314" i="2" s="1"/>
  <c r="AG2314" i="2"/>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L2353" i="2"/>
  <c r="AG2353" i="2"/>
  <c r="AH2353" i="2"/>
  <c r="AI2353" i="2"/>
  <c r="AJ2353" i="2"/>
  <c r="AF2354" i="2"/>
  <c r="AK2354" i="2" s="1"/>
  <c r="AG2354" i="2"/>
  <c r="AH2354" i="2"/>
  <c r="AI2354" i="2"/>
  <c r="AJ2354" i="2"/>
  <c r="AF2355" i="2"/>
  <c r="AK2355" i="2"/>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L2414" i="2" s="1"/>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L2446" i="2" s="1"/>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L2454" i="2"/>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L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L2544" i="2" s="1"/>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s="1"/>
  <c r="AL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L2605" i="2" s="1"/>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c r="AG2624" i="2"/>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s="1"/>
  <c r="AG2641" i="2"/>
  <c r="AH2641" i="2"/>
  <c r="AL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c r="AG2663" i="2"/>
  <c r="AL2663" i="2" s="1"/>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c r="AG2689" i="2"/>
  <c r="AL2689" i="2" s="1"/>
  <c r="AH2689" i="2"/>
  <c r="AI2689" i="2"/>
  <c r="AJ2689" i="2"/>
  <c r="AF2690" i="2"/>
  <c r="AK2690" i="2" s="1"/>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L2705" i="2" s="1"/>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c r="AG2727" i="2"/>
  <c r="AH2727" i="2"/>
  <c r="AL2727" i="2" s="1"/>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L2799" i="2" s="1"/>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L2968" i="2" s="1"/>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L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L3212" i="2" s="1"/>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L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s="1"/>
  <c r="AG3234" i="2"/>
  <c r="AL3234" i="2" s="1"/>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H3253" i="2"/>
  <c r="AL3253" i="2" s="1"/>
  <c r="AI3253" i="2"/>
  <c r="AJ3253" i="2"/>
  <c r="AF3254" i="2"/>
  <c r="AK3254" i="2" s="1"/>
  <c r="AL3254" i="2" s="1"/>
  <c r="AG3254" i="2"/>
  <c r="AH3254" i="2"/>
  <c r="AI3254" i="2"/>
  <c r="AJ3254" i="2"/>
  <c r="AF3255" i="2"/>
  <c r="AK3255" i="2"/>
  <c r="AG3255" i="2"/>
  <c r="AH3255" i="2"/>
  <c r="AI3255" i="2"/>
  <c r="AJ3255" i="2"/>
  <c r="AL3255" i="2" s="1"/>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s="1"/>
  <c r="AG3284" i="2"/>
  <c r="AH3284" i="2"/>
  <c r="AL3284" i="2" s="1"/>
  <c r="AI3284" i="2"/>
  <c r="AJ3284" i="2"/>
  <c r="AF3285" i="2"/>
  <c r="AK3285" i="2" s="1"/>
  <c r="AG3285" i="2"/>
  <c r="AL3285" i="2" s="1"/>
  <c r="AH3285" i="2"/>
  <c r="AI3285" i="2"/>
  <c r="AJ3285" i="2"/>
  <c r="AF3286" i="2"/>
  <c r="AK3286" i="2"/>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c r="AG3300" i="2"/>
  <c r="AL3300" i="2" s="1"/>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s="1"/>
  <c r="AL3306" i="2" s="1"/>
  <c r="AG3306" i="2"/>
  <c r="AH3306" i="2"/>
  <c r="AI3306" i="2"/>
  <c r="AJ3306" i="2"/>
  <c r="AF3307" i="2"/>
  <c r="AK3307" i="2" s="1"/>
  <c r="AG3307" i="2"/>
  <c r="AL3307" i="2" s="1"/>
  <c r="AH3307" i="2"/>
  <c r="AI3307" i="2"/>
  <c r="AJ3307" i="2"/>
  <c r="AF3308" i="2"/>
  <c r="AK3308" i="2" s="1"/>
  <c r="AG3308" i="2"/>
  <c r="AH3308" i="2"/>
  <c r="AI3308" i="2"/>
  <c r="AJ3308" i="2"/>
  <c r="AF3309" i="2"/>
  <c r="AK3309" i="2" s="1"/>
  <c r="AL3309" i="2" s="1"/>
  <c r="AG3309" i="2"/>
  <c r="AH3309" i="2"/>
  <c r="AI3309" i="2"/>
  <c r="AJ3309" i="2"/>
  <c r="AF3310" i="2"/>
  <c r="AK3310" i="2" s="1"/>
  <c r="AL3310" i="2" s="1"/>
  <c r="AG3310" i="2"/>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s="1"/>
  <c r="AG3320" i="2"/>
  <c r="AL3320" i="2" s="1"/>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s="1"/>
  <c r="AG3327" i="2"/>
  <c r="AL3327" i="2" s="1"/>
  <c r="AH3327" i="2"/>
  <c r="AI3327" i="2"/>
  <c r="AJ3327" i="2"/>
  <c r="AF3328" i="2"/>
  <c r="AK3328" i="2" s="1"/>
  <c r="AG3328" i="2"/>
  <c r="AH3328" i="2"/>
  <c r="AL3328" i="2" s="1"/>
  <c r="AI3328" i="2"/>
  <c r="AJ3328" i="2"/>
  <c r="AF3329" i="2"/>
  <c r="AK3329" i="2"/>
  <c r="AG3329" i="2"/>
  <c r="AH3329" i="2"/>
  <c r="AI3329" i="2"/>
  <c r="AJ3329" i="2"/>
  <c r="AF3330" i="2"/>
  <c r="AK3330" i="2" s="1"/>
  <c r="AG3330" i="2"/>
  <c r="AL3330" i="2" s="1"/>
  <c r="AH3330" i="2"/>
  <c r="AI3330" i="2"/>
  <c r="AJ3330" i="2"/>
  <c r="AF3331" i="2"/>
  <c r="AK3331" i="2"/>
  <c r="AG3331" i="2"/>
  <c r="AH3331" i="2"/>
  <c r="AI3331" i="2"/>
  <c r="AJ3331" i="2"/>
  <c r="AF3332" i="2"/>
  <c r="AK3332" i="2"/>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c r="AG3344" i="2"/>
  <c r="AH3344" i="2"/>
  <c r="AI3344" i="2"/>
  <c r="AJ3344" i="2"/>
  <c r="AL3344" i="2" s="1"/>
  <c r="AF3345" i="2"/>
  <c r="AK3345" i="2" s="1"/>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c r="AG3353" i="2"/>
  <c r="AL3353" i="2" s="1"/>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c r="AG3360" i="2"/>
  <c r="AL3360" i="2" s="1"/>
  <c r="AH3360" i="2"/>
  <c r="AI3360" i="2"/>
  <c r="AJ3360" i="2"/>
  <c r="AF3361" i="2"/>
  <c r="AK3361" i="2" s="1"/>
  <c r="AG3361" i="2"/>
  <c r="AH3361" i="2"/>
  <c r="AI3361" i="2"/>
  <c r="AJ3361" i="2"/>
  <c r="AF3362" i="2"/>
  <c r="AK3362" i="2"/>
  <c r="AG3362" i="2"/>
  <c r="AH3362" i="2"/>
  <c r="AI3362" i="2"/>
  <c r="AJ3362" i="2"/>
  <c r="AF3363" i="2"/>
  <c r="AK3363" i="2"/>
  <c r="AG3363" i="2"/>
  <c r="AH3363" i="2"/>
  <c r="AI3363" i="2"/>
  <c r="AL3363" i="2" s="1"/>
  <c r="AJ3363" i="2"/>
  <c r="AF3364" i="2"/>
  <c r="AK3364" i="2"/>
  <c r="AG3364" i="2"/>
  <c r="AH3364" i="2"/>
  <c r="AI3364" i="2"/>
  <c r="AJ3364" i="2"/>
  <c r="AF3365" i="2"/>
  <c r="AK3365" i="2"/>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c r="AG3378" i="2"/>
  <c r="AH3378" i="2"/>
  <c r="AI3378" i="2"/>
  <c r="AJ3378" i="2"/>
  <c r="AL3378" i="2" s="1"/>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c r="AG3385" i="2"/>
  <c r="AH3385" i="2"/>
  <c r="AI3385" i="2"/>
  <c r="AL3385" i="2" s="1"/>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L3414" i="2" s="1"/>
  <c r="AF3415" i="2"/>
  <c r="AK3415" i="2"/>
  <c r="AG3415" i="2"/>
  <c r="AL3415" i="2" s="1"/>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c r="AG3440" i="2"/>
  <c r="AL3440" i="2" s="1"/>
  <c r="AH3440" i="2"/>
  <c r="AI3440" i="2"/>
  <c r="AJ3440" i="2"/>
  <c r="AF3441" i="2"/>
  <c r="AK3441" i="2" s="1"/>
  <c r="AG3441" i="2"/>
  <c r="AH3441" i="2"/>
  <c r="AI3441" i="2"/>
  <c r="AJ3441" i="2"/>
  <c r="AF3442" i="2"/>
  <c r="AK3442" i="2" s="1"/>
  <c r="AL3442" i="2" s="1"/>
  <c r="AG3442" i="2"/>
  <c r="AH3442" i="2"/>
  <c r="AI3442" i="2"/>
  <c r="AJ3442" i="2"/>
  <c r="AF3443" i="2"/>
  <c r="AK3443" i="2" s="1"/>
  <c r="AG3443" i="2"/>
  <c r="AH3443" i="2"/>
  <c r="AL3443" i="2" s="1"/>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s="1"/>
  <c r="AG3464" i="2"/>
  <c r="AH3464" i="2"/>
  <c r="AL3464" i="2" s="1"/>
  <c r="AI3464" i="2"/>
  <c r="AJ3464" i="2"/>
  <c r="AF3465" i="2"/>
  <c r="AK3465" i="2"/>
  <c r="AG3465" i="2"/>
  <c r="AH3465" i="2"/>
  <c r="AI3465" i="2"/>
  <c r="AL3465" i="2" s="1"/>
  <c r="AJ3465" i="2"/>
  <c r="AF3466" i="2"/>
  <c r="AK3466" i="2"/>
  <c r="AG3466" i="2"/>
  <c r="AH3466" i="2"/>
  <c r="AI3466" i="2"/>
  <c r="AJ3466" i="2"/>
  <c r="AF3467" i="2"/>
  <c r="AK3467" i="2"/>
  <c r="AG3467" i="2"/>
  <c r="AL3467" i="2" s="1"/>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c r="AG3480" i="2"/>
  <c r="AH3480" i="2"/>
  <c r="AL3480" i="2" s="1"/>
  <c r="AI3480" i="2"/>
  <c r="AJ3480" i="2"/>
  <c r="AF3481" i="2"/>
  <c r="AK3481" i="2" s="1"/>
  <c r="AG3481" i="2"/>
  <c r="AL3481" i="2" s="1"/>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G3491" i="2"/>
  <c r="AH3491" i="2"/>
  <c r="AI3491" i="2"/>
  <c r="AJ3491" i="2"/>
  <c r="AF3492" i="2"/>
  <c r="AK3492" i="2" s="1"/>
  <c r="AG3492" i="2"/>
  <c r="AH3492" i="2"/>
  <c r="AI3492" i="2"/>
  <c r="AL3492" i="2" s="1"/>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c r="AG3497" i="2"/>
  <c r="AH3497" i="2"/>
  <c r="AL3497" i="2"/>
  <c r="AI3497" i="2"/>
  <c r="AJ3497" i="2"/>
  <c r="AF3498" i="2"/>
  <c r="AK3498" i="2" s="1"/>
  <c r="AG3498" i="2"/>
  <c r="AH3498" i="2"/>
  <c r="AI3498" i="2"/>
  <c r="AJ3498" i="2"/>
  <c r="AF3499" i="2"/>
  <c r="AK3499" i="2" s="1"/>
  <c r="AG3499" i="2"/>
  <c r="AH3499" i="2"/>
  <c r="AI3499" i="2"/>
  <c r="AJ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L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s="1"/>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H3529" i="2"/>
  <c r="AI3529" i="2"/>
  <c r="AJ3529" i="2"/>
  <c r="AF3530" i="2"/>
  <c r="AK3530" i="2"/>
  <c r="AG3530" i="2"/>
  <c r="AH3530" i="2"/>
  <c r="AL3530" i="2" s="1"/>
  <c r="AI3530" i="2"/>
  <c r="AJ3530" i="2"/>
  <c r="AF3531" i="2"/>
  <c r="AK3531" i="2" s="1"/>
  <c r="AG3531" i="2"/>
  <c r="AH3531" i="2"/>
  <c r="AI3531" i="2"/>
  <c r="AJ3531" i="2"/>
  <c r="AF3532" i="2"/>
  <c r="AK3532" i="2"/>
  <c r="AG3532" i="2"/>
  <c r="AL3532" i="2" s="1"/>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L3571" i="2" s="1"/>
  <c r="AG3571" i="2"/>
  <c r="AH3571" i="2"/>
  <c r="AI3571" i="2"/>
  <c r="AJ3571" i="2"/>
  <c r="AF3572" i="2"/>
  <c r="AK3572" i="2" s="1"/>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G3576" i="2"/>
  <c r="AH3576" i="2"/>
  <c r="AI3576" i="2"/>
  <c r="AJ3576" i="2"/>
  <c r="AF3577" i="2"/>
  <c r="AK3577" i="2" s="1"/>
  <c r="AG3577" i="2"/>
  <c r="AH3577" i="2"/>
  <c r="AI3577" i="2"/>
  <c r="AJ3577" i="2"/>
  <c r="AF3578" i="2"/>
  <c r="AK3578" i="2"/>
  <c r="AG3578" i="2"/>
  <c r="AH3578" i="2"/>
  <c r="AI3578" i="2"/>
  <c r="AJ3578" i="2"/>
  <c r="AF3579" i="2"/>
  <c r="AK3579" i="2"/>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L3611" i="2" s="1"/>
  <c r="AH3611" i="2"/>
  <c r="AI3611" i="2"/>
  <c r="AJ3611" i="2"/>
  <c r="AF3612" i="2"/>
  <c r="AK3612" i="2" s="1"/>
  <c r="AG3612" i="2"/>
  <c r="AH3612" i="2"/>
  <c r="AI3612" i="2"/>
  <c r="AJ3612" i="2"/>
  <c r="AF3613" i="2"/>
  <c r="AK3613" i="2" s="1"/>
  <c r="AL3613" i="2" s="1"/>
  <c r="AG3613" i="2"/>
  <c r="AH3613" i="2"/>
  <c r="AI3613" i="2"/>
  <c r="AJ3613" i="2"/>
  <c r="AF3614" i="2"/>
  <c r="AK3614" i="2" s="1"/>
  <c r="AG3614" i="2"/>
  <c r="AH3614" i="2"/>
  <c r="AI3614" i="2"/>
  <c r="AJ3614" i="2"/>
  <c r="AF3615" i="2"/>
  <c r="AK3615" i="2" s="1"/>
  <c r="AG3615" i="2"/>
  <c r="AH3615" i="2"/>
  <c r="AI3615" i="2"/>
  <c r="AJ3615" i="2"/>
  <c r="AF3616" i="2"/>
  <c r="AK3616" i="2"/>
  <c r="AG3616" i="2"/>
  <c r="AL3616" i="2" s="1"/>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L3628" i="2" s="1"/>
  <c r="AH3628" i="2"/>
  <c r="AI3628" i="2"/>
  <c r="AJ3628" i="2"/>
  <c r="AF3629" i="2"/>
  <c r="AK3629" i="2"/>
  <c r="AG3629" i="2"/>
  <c r="AH3629" i="2"/>
  <c r="AI3629" i="2"/>
  <c r="AJ3629" i="2"/>
  <c r="AF3630" i="2"/>
  <c r="AK3630" i="2"/>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s="1"/>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s="1"/>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L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s="1"/>
  <c r="AG3710" i="2"/>
  <c r="AH3710" i="2"/>
  <c r="AL3710" i="2" s="1"/>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L3716" i="2" s="1"/>
  <c r="AJ3716" i="2"/>
  <c r="AF3717" i="2"/>
  <c r="AK3717" i="2"/>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c r="AG3721" i="2"/>
  <c r="AL3721" i="2"/>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L3726" i="2"/>
  <c r="AH3726" i="2"/>
  <c r="AI3726" i="2"/>
  <c r="AJ3726" i="2"/>
  <c r="AF3727" i="2"/>
  <c r="AK3727" i="2" s="1"/>
  <c r="AG3727" i="2"/>
  <c r="AH3727" i="2"/>
  <c r="AI3727" i="2"/>
  <c r="AJ3727" i="2"/>
  <c r="AF3728" i="2"/>
  <c r="AK3728" i="2" s="1"/>
  <c r="AG3728" i="2"/>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L3735" i="2" s="1"/>
  <c r="AH3735" i="2"/>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c r="AG3739" i="2"/>
  <c r="AH3739" i="2"/>
  <c r="AI3739" i="2"/>
  <c r="AJ3739" i="2"/>
  <c r="AF3740" i="2"/>
  <c r="AK3740" i="2" s="1"/>
  <c r="AG3740" i="2"/>
  <c r="AH3740" i="2"/>
  <c r="AI3740" i="2"/>
  <c r="AJ3740" i="2"/>
  <c r="AF3741" i="2"/>
  <c r="AK3741" i="2"/>
  <c r="AG3741" i="2"/>
  <c r="AH3741" i="2"/>
  <c r="AI3741" i="2"/>
  <c r="AJ3741" i="2"/>
  <c r="AL3741" i="2" s="1"/>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H3751" i="2"/>
  <c r="AI3751" i="2"/>
  <c r="AJ3751" i="2"/>
  <c r="AF3752" i="2"/>
  <c r="AK3752" i="2" s="1"/>
  <c r="AL3752" i="2" s="1"/>
  <c r="AG3752" i="2"/>
  <c r="AH3752" i="2"/>
  <c r="AI3752" i="2"/>
  <c r="AJ3752" i="2"/>
  <c r="AF3753" i="2"/>
  <c r="AK3753" i="2"/>
  <c r="AG3753" i="2"/>
  <c r="AH3753" i="2"/>
  <c r="AI3753" i="2"/>
  <c r="AJ3753" i="2"/>
  <c r="AF3754" i="2"/>
  <c r="AK3754" i="2" s="1"/>
  <c r="AG3754" i="2"/>
  <c r="AH3754" i="2"/>
  <c r="AI3754" i="2"/>
  <c r="AJ3754" i="2"/>
  <c r="AF3755" i="2"/>
  <c r="AK3755" i="2" s="1"/>
  <c r="AG3755" i="2"/>
  <c r="AL3755" i="2" s="1"/>
  <c r="AH3755" i="2"/>
  <c r="AI3755" i="2"/>
  <c r="AJ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G3759" i="2"/>
  <c r="AH3759" i="2"/>
  <c r="AI3759" i="2"/>
  <c r="AJ3759" i="2"/>
  <c r="AF3760" i="2"/>
  <c r="AK3760" i="2"/>
  <c r="AG3760" i="2"/>
  <c r="AH3760" i="2"/>
  <c r="AI3760" i="2"/>
  <c r="AJ3760" i="2"/>
  <c r="AF3761" i="2"/>
  <c r="AK3761" i="2" s="1"/>
  <c r="AL3761" i="2" s="1"/>
  <c r="AG3761" i="2"/>
  <c r="AH3761" i="2"/>
  <c r="AI3761" i="2"/>
  <c r="AJ3761" i="2"/>
  <c r="AF3762" i="2"/>
  <c r="AK3762" i="2" s="1"/>
  <c r="AG3762" i="2"/>
  <c r="AH3762" i="2"/>
  <c r="AI3762" i="2"/>
  <c r="AJ3762" i="2"/>
  <c r="AF3763" i="2"/>
  <c r="AK3763" i="2"/>
  <c r="AG3763" i="2"/>
  <c r="AH3763" i="2"/>
  <c r="AI3763" i="2"/>
  <c r="AJ3763" i="2"/>
  <c r="AF3764" i="2"/>
  <c r="AK3764" i="2" s="1"/>
  <c r="AG3764" i="2"/>
  <c r="AH3764" i="2"/>
  <c r="AL3764" i="2" s="1"/>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I3774" i="2"/>
  <c r="AJ3774" i="2"/>
  <c r="AF3775" i="2"/>
  <c r="AK3775" i="2" s="1"/>
  <c r="AL3775" i="2"/>
  <c r="AG3775" i="2"/>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L3790" i="2" s="1"/>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s="1"/>
  <c r="AG3804" i="2"/>
  <c r="AL3804" i="2" s="1"/>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L3825" i="2"/>
  <c r="AF3826" i="2"/>
  <c r="AK3826" i="2" s="1"/>
  <c r="AG3826" i="2"/>
  <c r="AH3826" i="2"/>
  <c r="AI3826" i="2"/>
  <c r="AJ3826" i="2"/>
  <c r="AF3827" i="2"/>
  <c r="AK3827" i="2"/>
  <c r="AL3827" i="2"/>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c r="AG3832" i="2"/>
  <c r="AL3832" i="2"/>
  <c r="AH3832" i="2"/>
  <c r="AI3832" i="2"/>
  <c r="AJ3832" i="2"/>
  <c r="AF3833" i="2"/>
  <c r="AK3833" i="2" s="1"/>
  <c r="AG3833" i="2"/>
  <c r="AH3833" i="2"/>
  <c r="AI3833" i="2"/>
  <c r="AJ3833" i="2"/>
  <c r="AF3834" i="2"/>
  <c r="AK3834" i="2"/>
  <c r="AG3834" i="2"/>
  <c r="AH3834" i="2"/>
  <c r="AI3834" i="2"/>
  <c r="AJ3834" i="2"/>
  <c r="AF3835" i="2"/>
  <c r="AK3835" i="2" s="1"/>
  <c r="AG3835" i="2"/>
  <c r="AH3835" i="2"/>
  <c r="AL3835" i="2" s="1"/>
  <c r="AI3835" i="2"/>
  <c r="AJ3835" i="2"/>
  <c r="AF3836" i="2"/>
  <c r="AK3836" i="2"/>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L3872" i="2"/>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s="1"/>
  <c r="AG3876" i="2"/>
  <c r="AH3876" i="2"/>
  <c r="AI3876" i="2"/>
  <c r="AJ3876" i="2"/>
  <c r="AF3877" i="2"/>
  <c r="AK3877" i="2"/>
  <c r="AG3877" i="2"/>
  <c r="AH3877" i="2"/>
  <c r="AI3877" i="2"/>
  <c r="AJ3877" i="2"/>
  <c r="AF3878" i="2"/>
  <c r="AK3878" i="2"/>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c r="AG3882" i="2"/>
  <c r="AH3882" i="2"/>
  <c r="AI3882" i="2"/>
  <c r="AJ3882" i="2"/>
  <c r="AF3883" i="2"/>
  <c r="AK3883" i="2" s="1"/>
  <c r="AG3883" i="2"/>
  <c r="AH3883" i="2"/>
  <c r="AI3883" i="2"/>
  <c r="AL3883" i="2" s="1"/>
  <c r="AJ3883" i="2"/>
  <c r="AF3884" i="2"/>
  <c r="AK3884" i="2"/>
  <c r="AG3884" i="2"/>
  <c r="AL3884" i="2" s="1"/>
  <c r="AH3884" i="2"/>
  <c r="AI3884" i="2"/>
  <c r="AJ3884" i="2"/>
  <c r="AF3885" i="2"/>
  <c r="AK3885" i="2" s="1"/>
  <c r="AG3885" i="2"/>
  <c r="AH3885" i="2"/>
  <c r="AI3885" i="2"/>
  <c r="AJ3885" i="2"/>
  <c r="AL3885" i="2" s="1"/>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F3926" i="2"/>
  <c r="AK3926" i="2"/>
  <c r="AG3926" i="2"/>
  <c r="AH3926" i="2"/>
  <c r="AI3926" i="2"/>
  <c r="AJ3926" i="2"/>
  <c r="AF3927" i="2"/>
  <c r="AK3927" i="2" s="1"/>
  <c r="AG3927" i="2"/>
  <c r="AH3927" i="2"/>
  <c r="AL3927" i="2" s="1"/>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F3977" i="2"/>
  <c r="AK3977" i="2" s="1"/>
  <c r="AG3977" i="2"/>
  <c r="AH3977" i="2"/>
  <c r="AI3977" i="2"/>
  <c r="AJ3977" i="2"/>
  <c r="AF3978" i="2"/>
  <c r="AK3978" i="2"/>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c r="AG3982" i="2"/>
  <c r="AH3982" i="2"/>
  <c r="AI3982" i="2"/>
  <c r="AJ3982" i="2"/>
  <c r="AF3983" i="2"/>
  <c r="AK3983" i="2"/>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s="1"/>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s="1"/>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c r="AG4046" i="2"/>
  <c r="AH4046" i="2"/>
  <c r="AL4046" i="2" s="1"/>
  <c r="AI4046" i="2"/>
  <c r="AJ4046" i="2"/>
  <c r="AF4047" i="2"/>
  <c r="AK4047" i="2" s="1"/>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s="1"/>
  <c r="AG4051" i="2"/>
  <c r="AH4051" i="2"/>
  <c r="AI4051" i="2"/>
  <c r="AJ4051" i="2"/>
  <c r="AF4052" i="2"/>
  <c r="AK4052" i="2"/>
  <c r="AG4052" i="2"/>
  <c r="AH4052" i="2"/>
  <c r="AI4052" i="2"/>
  <c r="AL4052" i="2" s="1"/>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s="1"/>
  <c r="AG4069" i="2"/>
  <c r="AH4069" i="2"/>
  <c r="AI4069" i="2"/>
  <c r="AJ4069" i="2"/>
  <c r="AF4070" i="2"/>
  <c r="AK4070" i="2" s="1"/>
  <c r="AG4070" i="2"/>
  <c r="AH4070" i="2"/>
  <c r="AI4070" i="2"/>
  <c r="AJ4070" i="2"/>
  <c r="AF4071" i="2"/>
  <c r="AK4071" i="2"/>
  <c r="AG4071" i="2"/>
  <c r="AH4071" i="2"/>
  <c r="AI4071" i="2"/>
  <c r="AJ4071" i="2"/>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L4081" i="2" s="1"/>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s="1"/>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I4104" i="2"/>
  <c r="AJ4104" i="2"/>
  <c r="AF4105" i="2"/>
  <c r="AK4105" i="2" s="1"/>
  <c r="AG4105" i="2"/>
  <c r="AL4105" i="2" s="1"/>
  <c r="AH4105" i="2"/>
  <c r="AI4105" i="2"/>
  <c r="AJ4105" i="2"/>
  <c r="AF4106" i="2"/>
  <c r="AK4106" i="2" s="1"/>
  <c r="AG4106" i="2"/>
  <c r="AH4106" i="2"/>
  <c r="AI4106" i="2"/>
  <c r="AJ4106" i="2"/>
  <c r="AF4107" i="2"/>
  <c r="AK4107" i="2" s="1"/>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s="1"/>
  <c r="AL4114" i="2"/>
  <c r="AG4114" i="2"/>
  <c r="AH4114" i="2"/>
  <c r="AI4114" i="2"/>
  <c r="AJ4114" i="2"/>
  <c r="AF4115" i="2"/>
  <c r="AK4115" i="2"/>
  <c r="AG4115" i="2"/>
  <c r="AH4115" i="2"/>
  <c r="AI4115" i="2"/>
  <c r="AJ4115" i="2"/>
  <c r="AF4116" i="2"/>
  <c r="AK4116" i="2" s="1"/>
  <c r="AG4116" i="2"/>
  <c r="AL4116" i="2" s="1"/>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L4131" i="2" s="1"/>
  <c r="AH4131" i="2"/>
  <c r="AI4131" i="2"/>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L4182" i="2" s="1"/>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c r="AL4194" i="2"/>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L4213" i="2" s="1"/>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L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L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L4250" i="2" s="1"/>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K4270" i="2" s="1"/>
  <c r="AG4270" i="2"/>
  <c r="AH4270" i="2"/>
  <c r="AI4270" i="2"/>
  <c r="AJ4270" i="2"/>
  <c r="AF4271" i="2"/>
  <c r="AK4271" i="2"/>
  <c r="AG4271" i="2"/>
  <c r="AH4271" i="2"/>
  <c r="AI4271" i="2"/>
  <c r="AL4271" i="2"/>
  <c r="AJ4271" i="2"/>
  <c r="AF4272" i="2"/>
  <c r="AK4272" i="2"/>
  <c r="AG4272" i="2"/>
  <c r="AH4272" i="2"/>
  <c r="AI4272" i="2"/>
  <c r="AJ4272" i="2"/>
  <c r="AF4273" i="2"/>
  <c r="AK4273" i="2" s="1"/>
  <c r="AG4273" i="2"/>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L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L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L4294" i="2" s="1"/>
  <c r="AH4294" i="2"/>
  <c r="AI4294" i="2"/>
  <c r="AJ4294" i="2"/>
  <c r="AF4295" i="2"/>
  <c r="AK4295" i="2" s="1"/>
  <c r="AL4295" i="2" s="1"/>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s="1"/>
  <c r="AG4305" i="2"/>
  <c r="AH4305" i="2"/>
  <c r="AI4305" i="2"/>
  <c r="AJ4305" i="2"/>
  <c r="AF4306" i="2"/>
  <c r="AK4306" i="2"/>
  <c r="AL4306" i="2"/>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L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G4320" i="2"/>
  <c r="AL4320" i="2"/>
  <c r="AH4320" i="2"/>
  <c r="AI4320" i="2"/>
  <c r="AJ4320" i="2"/>
  <c r="AF4321" i="2"/>
  <c r="AK4321" i="2" s="1"/>
  <c r="AG4321" i="2"/>
  <c r="AH4321" i="2"/>
  <c r="AI4321" i="2"/>
  <c r="AJ4321" i="2"/>
  <c r="AF4322" i="2"/>
  <c r="AK4322" i="2"/>
  <c r="AG4322" i="2"/>
  <c r="AL4322" i="2" s="1"/>
  <c r="AH4322" i="2"/>
  <c r="AI4322" i="2"/>
  <c r="AJ4322" i="2"/>
  <c r="AF4323" i="2"/>
  <c r="AK4323" i="2"/>
  <c r="AG4323" i="2"/>
  <c r="AH4323" i="2"/>
  <c r="AL4323" i="2" s="1"/>
  <c r="AI4323" i="2"/>
  <c r="AJ4323" i="2"/>
  <c r="AF4324" i="2"/>
  <c r="AK4324" i="2" s="1"/>
  <c r="AG4324" i="2"/>
  <c r="AH4324" i="2"/>
  <c r="AI4324" i="2"/>
  <c r="AJ4324" i="2"/>
  <c r="AF4325" i="2"/>
  <c r="AK4325" i="2"/>
  <c r="AG4325" i="2"/>
  <c r="AH4325" i="2"/>
  <c r="AI4325" i="2"/>
  <c r="AJ4325" i="2"/>
  <c r="AF4326" i="2"/>
  <c r="AK4326" i="2" s="1"/>
  <c r="AL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L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L4347" i="2" s="1"/>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L4356" i="2" s="1"/>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H4360" i="2"/>
  <c r="AL4360" i="2" s="1"/>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L4364" i="2" s="1"/>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L4372" i="2" s="1"/>
  <c r="AH4372" i="2"/>
  <c r="AI4372" i="2"/>
  <c r="AJ4372" i="2"/>
  <c r="AF4373" i="2"/>
  <c r="AK4373" i="2"/>
  <c r="AL4373" i="2"/>
  <c r="AG4373" i="2"/>
  <c r="AH4373" i="2"/>
  <c r="AI4373" i="2"/>
  <c r="AJ4373" i="2"/>
  <c r="AF4374" i="2"/>
  <c r="AK4374" i="2"/>
  <c r="AG4374" i="2"/>
  <c r="AH4374" i="2"/>
  <c r="AI4374" i="2"/>
  <c r="AJ4374" i="2"/>
  <c r="AF4375" i="2"/>
  <c r="AK4375" i="2"/>
  <c r="AG4375" i="2"/>
  <c r="AH4375" i="2"/>
  <c r="AI4375" i="2"/>
  <c r="AJ4375" i="2"/>
  <c r="AF4376" i="2"/>
  <c r="AK4376" i="2"/>
  <c r="AG4376" i="2"/>
  <c r="AL4376" i="2" s="1"/>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L4389" i="2" s="1"/>
  <c r="AH4389" i="2"/>
  <c r="AI4389" i="2"/>
  <c r="AJ4389" i="2"/>
  <c r="AF4390" i="2"/>
  <c r="AK4390" i="2"/>
  <c r="AG4390" i="2"/>
  <c r="AL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L4397" i="2" s="1"/>
  <c r="AH4397" i="2"/>
  <c r="AI4397" i="2"/>
  <c r="AJ4397" i="2"/>
  <c r="AF4398" i="2"/>
  <c r="AK4398" i="2" s="1"/>
  <c r="AG4398" i="2"/>
  <c r="AH4398" i="2"/>
  <c r="AI4398" i="2"/>
  <c r="AJ4398" i="2"/>
  <c r="AF4399" i="2"/>
  <c r="AK4399" i="2"/>
  <c r="AG4399" i="2"/>
  <c r="AH4399" i="2"/>
  <c r="AI4399" i="2"/>
  <c r="AJ4399" i="2"/>
  <c r="AF4400" i="2"/>
  <c r="AK4400" i="2" s="1"/>
  <c r="AL4400" i="2" s="1"/>
  <c r="AG4400" i="2"/>
  <c r="AH4400" i="2"/>
  <c r="AI4400" i="2"/>
  <c r="AJ4400" i="2"/>
  <c r="AF4401" i="2"/>
  <c r="AK4401" i="2"/>
  <c r="AG4401" i="2"/>
  <c r="AH4401" i="2"/>
  <c r="AI4401" i="2"/>
  <c r="AJ4401" i="2"/>
  <c r="AF4402" i="2"/>
  <c r="AK4402" i="2" s="1"/>
  <c r="AG4402" i="2"/>
  <c r="AH4402" i="2"/>
  <c r="AL4402" i="2" s="1"/>
  <c r="AI4402" i="2"/>
  <c r="AJ4402" i="2"/>
  <c r="AF4403" i="2"/>
  <c r="AK4403" i="2"/>
  <c r="AG4403" i="2"/>
  <c r="AH4403" i="2"/>
  <c r="AL4403" i="2" s="1"/>
  <c r="AI4403" i="2"/>
  <c r="AJ4403" i="2"/>
  <c r="AF4404" i="2"/>
  <c r="AK4404" i="2"/>
  <c r="AG4404" i="2"/>
  <c r="AH4404" i="2"/>
  <c r="AI4404" i="2"/>
  <c r="AJ4404" i="2"/>
  <c r="AF4405" i="2"/>
  <c r="AK4405" i="2" s="1"/>
  <c r="AG4405" i="2"/>
  <c r="AH4405" i="2"/>
  <c r="AL4405" i="2" s="1"/>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s="1"/>
  <c r="AG4409" i="2"/>
  <c r="AL4409" i="2" s="1"/>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L4415" i="2" s="1"/>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F4421" i="2"/>
  <c r="AK4421" i="2"/>
  <c r="AG4421" i="2"/>
  <c r="AL4421" i="2" s="1"/>
  <c r="AH4421" i="2"/>
  <c r="AI4421" i="2"/>
  <c r="AJ4421" i="2"/>
  <c r="AF4422" i="2"/>
  <c r="AK4422" i="2"/>
  <c r="AG4422" i="2"/>
  <c r="AL4422" i="2" s="1"/>
  <c r="AH4422" i="2"/>
  <c r="AI4422" i="2"/>
  <c r="AJ4422" i="2"/>
  <c r="AF4423" i="2"/>
  <c r="AK4423" i="2"/>
  <c r="AG4423" i="2"/>
  <c r="AL4423" i="2"/>
  <c r="AH4423" i="2"/>
  <c r="AI4423" i="2"/>
  <c r="AJ4423" i="2"/>
  <c r="AF4424" i="2"/>
  <c r="AK4424" i="2" s="1"/>
  <c r="AG4424" i="2"/>
  <c r="AH4424" i="2"/>
  <c r="AI4424" i="2"/>
  <c r="AJ4424" i="2"/>
  <c r="AF4425" i="2"/>
  <c r="AK4425" i="2"/>
  <c r="AG4425" i="2"/>
  <c r="AH4425" i="2"/>
  <c r="AI4425" i="2"/>
  <c r="AJ4425" i="2"/>
  <c r="AF4426" i="2"/>
  <c r="AK4426" i="2"/>
  <c r="AG4426" i="2"/>
  <c r="AL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L4430" i="2" s="1"/>
  <c r="AH4430" i="2"/>
  <c r="AI4430" i="2"/>
  <c r="AJ4430" i="2"/>
  <c r="AF4431" i="2"/>
  <c r="AK4431" i="2"/>
  <c r="AG4431" i="2"/>
  <c r="AH4431" i="2"/>
  <c r="AI4431" i="2"/>
  <c r="AJ4431" i="2"/>
  <c r="AF4432" i="2"/>
  <c r="AK4432" i="2"/>
  <c r="AG4432" i="2"/>
  <c r="AL4432" i="2" s="1"/>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c r="AG4436" i="2"/>
  <c r="AH4436" i="2"/>
  <c r="AI4436" i="2"/>
  <c r="AJ4436" i="2"/>
  <c r="AF4437" i="2"/>
  <c r="AK4437" i="2"/>
  <c r="AG4437" i="2"/>
  <c r="AL4437" i="2" s="1"/>
  <c r="AH4437" i="2"/>
  <c r="AI4437" i="2"/>
  <c r="AJ4437" i="2"/>
  <c r="AF4438" i="2"/>
  <c r="AK4438" i="2"/>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L4444" i="2" s="1"/>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c r="AG4450" i="2"/>
  <c r="AL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s="1"/>
  <c r="AG4456" i="2"/>
  <c r="AH4456" i="2"/>
  <c r="AI4456" i="2"/>
  <c r="AJ4456" i="2"/>
  <c r="AF4457" i="2"/>
  <c r="AK4457" i="2"/>
  <c r="AG4457" i="2"/>
  <c r="AL4457" i="2" s="1"/>
  <c r="AH4457" i="2"/>
  <c r="AI4457" i="2"/>
  <c r="AJ4457" i="2"/>
  <c r="AF4458" i="2"/>
  <c r="AK4458" i="2" s="1"/>
  <c r="AG4458" i="2"/>
  <c r="AH4458" i="2"/>
  <c r="AL4458" i="2" s="1"/>
  <c r="AI4458" i="2"/>
  <c r="AJ4458" i="2"/>
  <c r="AF4459" i="2"/>
  <c r="AK4459" i="2"/>
  <c r="AG4459" i="2"/>
  <c r="AH4459" i="2"/>
  <c r="AI4459" i="2"/>
  <c r="AJ4459" i="2"/>
  <c r="AF4460" i="2"/>
  <c r="AK4460" i="2"/>
  <c r="AG4460" i="2"/>
  <c r="AL4460" i="2" s="1"/>
  <c r="AH4460" i="2"/>
  <c r="AI4460" i="2"/>
  <c r="AJ4460" i="2"/>
  <c r="AF4461" i="2"/>
  <c r="AK4461" i="2" s="1"/>
  <c r="AL4461" i="2" s="1"/>
  <c r="AG4461" i="2"/>
  <c r="AH4461" i="2"/>
  <c r="AI4461" i="2"/>
  <c r="AJ4461" i="2"/>
  <c r="AF4462" i="2"/>
  <c r="AK4462" i="2"/>
  <c r="AG4462" i="2"/>
  <c r="AH4462" i="2"/>
  <c r="AI4462" i="2"/>
  <c r="AJ4462" i="2"/>
  <c r="AF4463" i="2"/>
  <c r="AK4463" i="2"/>
  <c r="AL4463" i="2"/>
  <c r="AG4463" i="2"/>
  <c r="AH4463" i="2"/>
  <c r="AI4463" i="2"/>
  <c r="AJ4463" i="2"/>
  <c r="AF4464" i="2"/>
  <c r="AK4464" i="2" s="1"/>
  <c r="AG4464" i="2"/>
  <c r="AL4464" i="2"/>
  <c r="AH4464" i="2"/>
  <c r="AI4464" i="2"/>
  <c r="AJ4464" i="2"/>
  <c r="AF4465" i="2"/>
  <c r="AK4465" i="2"/>
  <c r="AG4465" i="2"/>
  <c r="AH4465" i="2"/>
  <c r="AI4465" i="2"/>
  <c r="AJ4465" i="2"/>
  <c r="AF4466" i="2"/>
  <c r="AK4466" i="2"/>
  <c r="AG4466" i="2"/>
  <c r="AH4466" i="2"/>
  <c r="AI4466" i="2"/>
  <c r="AJ4466" i="2"/>
  <c r="AF4467" i="2"/>
  <c r="AK4467" i="2" s="1"/>
  <c r="AG4467" i="2"/>
  <c r="AH4467" i="2"/>
  <c r="AL4467" i="2" s="1"/>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c r="AG4472" i="2"/>
  <c r="AL4472" i="2" s="1"/>
  <c r="AH4472" i="2"/>
  <c r="AI4472" i="2"/>
  <c r="AJ4472" i="2"/>
  <c r="AF4473" i="2"/>
  <c r="AK4473" i="2" s="1"/>
  <c r="AG4473" i="2"/>
  <c r="AL4473" i="2" s="1"/>
  <c r="AH4473" i="2"/>
  <c r="AI4473" i="2"/>
  <c r="AJ4473" i="2"/>
  <c r="AF4474" i="2"/>
  <c r="AK4474" i="2" s="1"/>
  <c r="AG4474" i="2"/>
  <c r="AH4474" i="2"/>
  <c r="AL4474" i="2" s="1"/>
  <c r="AI4474" i="2"/>
  <c r="AJ4474" i="2"/>
  <c r="AF4475" i="2"/>
  <c r="AK4475" i="2"/>
  <c r="AG4475" i="2"/>
  <c r="AH4475" i="2"/>
  <c r="AI4475" i="2"/>
  <c r="AJ4475" i="2"/>
  <c r="AF4476" i="2"/>
  <c r="AK4476" i="2"/>
  <c r="AG4476" i="2"/>
  <c r="AL4476" i="2" s="1"/>
  <c r="AH4476" i="2"/>
  <c r="AI4476" i="2"/>
  <c r="AJ4476" i="2"/>
  <c r="AF4477" i="2"/>
  <c r="AK4477" i="2" s="1"/>
  <c r="AG4477" i="2"/>
  <c r="AL4477" i="2" s="1"/>
  <c r="AH4477" i="2"/>
  <c r="AI4477" i="2"/>
  <c r="AJ4477" i="2"/>
  <c r="AF4478" i="2"/>
  <c r="AK4478" i="2"/>
  <c r="AG4478" i="2"/>
  <c r="AH4478" i="2"/>
  <c r="AI4478" i="2"/>
  <c r="AJ4478" i="2"/>
  <c r="AF4479" i="2"/>
  <c r="AK4479" i="2"/>
  <c r="AG4479" i="2"/>
  <c r="AH4479" i="2"/>
  <c r="AI4479" i="2"/>
  <c r="AJ4479" i="2"/>
  <c r="AF4480" i="2"/>
  <c r="AK4480" i="2" s="1"/>
  <c r="AG4480" i="2"/>
  <c r="AH4480" i="2"/>
  <c r="AL4480" i="2" s="1"/>
  <c r="AI4480" i="2"/>
  <c r="AJ4480" i="2"/>
  <c r="AF4481" i="2"/>
  <c r="AK4481" i="2"/>
  <c r="AG4481" i="2"/>
  <c r="AH4481" i="2"/>
  <c r="AI4481" i="2"/>
  <c r="AJ4481" i="2"/>
  <c r="AF4482" i="2"/>
  <c r="AK4482" i="2" s="1"/>
  <c r="AG4482" i="2"/>
  <c r="AH4482" i="2"/>
  <c r="AI4482" i="2"/>
  <c r="AJ4482" i="2"/>
  <c r="AF4483" i="2"/>
  <c r="AK4483" i="2"/>
  <c r="AG4483" i="2"/>
  <c r="AH4483" i="2"/>
  <c r="AI4483" i="2"/>
  <c r="AL4483" i="2" s="1"/>
  <c r="AJ4483" i="2"/>
  <c r="AF4484" i="2"/>
  <c r="AK4484" i="2"/>
  <c r="AG4484" i="2"/>
  <c r="AL4484" i="2" s="1"/>
  <c r="AH4484" i="2"/>
  <c r="AI4484" i="2"/>
  <c r="AJ4484" i="2"/>
  <c r="AF4485" i="2"/>
  <c r="AK4485" i="2" s="1"/>
  <c r="AL4485" i="2" s="1"/>
  <c r="AG4485" i="2"/>
  <c r="AH4485" i="2"/>
  <c r="AI4485" i="2"/>
  <c r="AJ4485" i="2"/>
  <c r="AF4486" i="2"/>
  <c r="AK4486" i="2"/>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s="1"/>
  <c r="AL4490" i="2" s="1"/>
  <c r="AG4490" i="2"/>
  <c r="AH4490" i="2"/>
  <c r="AI4490" i="2"/>
  <c r="AJ4490" i="2"/>
  <c r="AF4491" i="2"/>
  <c r="AK4491" i="2"/>
  <c r="AG4491" i="2"/>
  <c r="AH4491" i="2"/>
  <c r="AI4491" i="2"/>
  <c r="AJ4491" i="2"/>
  <c r="AF4492" i="2"/>
  <c r="AK4492" i="2"/>
  <c r="AG4492" i="2"/>
  <c r="AL4492" i="2" s="1"/>
  <c r="AH4492" i="2"/>
  <c r="AI4492" i="2"/>
  <c r="AJ4492" i="2"/>
  <c r="AF4493" i="2"/>
  <c r="AK4493" i="2" s="1"/>
  <c r="AG4493" i="2"/>
  <c r="AH4493" i="2"/>
  <c r="AI4493" i="2"/>
  <c r="AJ4493" i="2"/>
  <c r="AF4494" i="2"/>
  <c r="AK4494" i="2" s="1"/>
  <c r="AG4494" i="2"/>
  <c r="AH4494" i="2"/>
  <c r="AI4494" i="2"/>
  <c r="AJ4494" i="2"/>
  <c r="AF4495" i="2"/>
  <c r="AK4495" i="2" s="1"/>
  <c r="AG4495" i="2"/>
  <c r="AH4495" i="2"/>
  <c r="AI4495" i="2"/>
  <c r="AJ4495" i="2"/>
  <c r="AF4496" i="2"/>
  <c r="AK4496" i="2" s="1"/>
  <c r="AG4496" i="2"/>
  <c r="AH4496" i="2"/>
  <c r="AI4496" i="2"/>
  <c r="AJ4496" i="2"/>
  <c r="AF4497" i="2"/>
  <c r="AK4497" i="2"/>
  <c r="AG4497" i="2"/>
  <c r="AL4497" i="2" s="1"/>
  <c r="AH4497" i="2"/>
  <c r="AI4497" i="2"/>
  <c r="AJ4497" i="2"/>
  <c r="AF4498" i="2"/>
  <c r="AK4498" i="2" s="1"/>
  <c r="AG4498" i="2"/>
  <c r="AH4498" i="2"/>
  <c r="AL4498" i="2" s="1"/>
  <c r="AI4498" i="2"/>
  <c r="AJ4498" i="2"/>
  <c r="AF4499" i="2"/>
  <c r="AK4499" i="2" s="1"/>
  <c r="AG4499" i="2"/>
  <c r="AH4499" i="2"/>
  <c r="AI4499" i="2"/>
  <c r="AL4499" i="2" s="1"/>
  <c r="AJ4499" i="2"/>
  <c r="AF4500" i="2"/>
  <c r="AK4500" i="2"/>
  <c r="AG4500" i="2"/>
  <c r="AH4500" i="2"/>
  <c r="AI4500" i="2"/>
  <c r="AJ4500" i="2"/>
  <c r="AF4501" i="2"/>
  <c r="AK4501" i="2" s="1"/>
  <c r="AG4501" i="2"/>
  <c r="AH4501" i="2"/>
  <c r="AI4501" i="2"/>
  <c r="AJ4501" i="2"/>
  <c r="AF4502" i="2"/>
  <c r="AK4502" i="2"/>
  <c r="AL4502" i="2"/>
  <c r="AG4502" i="2"/>
  <c r="AH4502" i="2"/>
  <c r="AI4502" i="2"/>
  <c r="AJ4502" i="2"/>
  <c r="AF4503" i="2"/>
  <c r="AK4503" i="2" s="1"/>
  <c r="AG4503" i="2"/>
  <c r="AH4503" i="2"/>
  <c r="AI4503" i="2"/>
  <c r="AJ4503" i="2"/>
  <c r="AF4504" i="2"/>
  <c r="AK4504" i="2" s="1"/>
  <c r="AG4504" i="2"/>
  <c r="AH4504" i="2"/>
  <c r="AI4504" i="2"/>
  <c r="AJ4504" i="2"/>
  <c r="AF4505" i="2"/>
  <c r="AK4505" i="2" s="1"/>
  <c r="AL4505" i="2" s="1"/>
  <c r="AG4505" i="2"/>
  <c r="AH4505" i="2"/>
  <c r="AI4505" i="2"/>
  <c r="AJ4505" i="2"/>
  <c r="AF4506" i="2"/>
  <c r="AK4506" i="2" s="1"/>
  <c r="AG4506" i="2"/>
  <c r="AH4506" i="2"/>
  <c r="AI4506" i="2"/>
  <c r="AJ4506" i="2"/>
  <c r="AF4507" i="2"/>
  <c r="AK4507" i="2"/>
  <c r="AG4507" i="2"/>
  <c r="AL4507" i="2" s="1"/>
  <c r="AH4507" i="2"/>
  <c r="AI4507" i="2"/>
  <c r="AJ4507" i="2"/>
  <c r="AF4508" i="2"/>
  <c r="AK4508" i="2" s="1"/>
  <c r="AG4508" i="2"/>
  <c r="AH4508" i="2"/>
  <c r="AL4508" i="2" s="1"/>
  <c r="AI4508" i="2"/>
  <c r="AJ4508" i="2"/>
  <c r="AF4509" i="2"/>
  <c r="AK4509" i="2"/>
  <c r="AG4509" i="2"/>
  <c r="AH4509" i="2"/>
  <c r="AI4509" i="2"/>
  <c r="AJ4509" i="2"/>
  <c r="AF4510" i="2"/>
  <c r="AK4510" i="2"/>
  <c r="AG4510" i="2"/>
  <c r="AH4510" i="2"/>
  <c r="AI4510" i="2"/>
  <c r="AJ4510" i="2"/>
  <c r="AL4510" i="2" s="1"/>
  <c r="AF4511" i="2"/>
  <c r="AK4511" i="2" s="1"/>
  <c r="AG4511" i="2"/>
  <c r="AL4511" i="2" s="1"/>
  <c r="AH4511" i="2"/>
  <c r="AI4511" i="2"/>
  <c r="AJ4511" i="2"/>
  <c r="AF4512" i="2"/>
  <c r="AK4512" i="2" s="1"/>
  <c r="AG4512" i="2"/>
  <c r="AH4512" i="2"/>
  <c r="AI4512" i="2"/>
  <c r="AJ4512" i="2"/>
  <c r="AF4513" i="2"/>
  <c r="AK4513" i="2"/>
  <c r="AL4513" i="2"/>
  <c r="AG4513" i="2"/>
  <c r="AH4513" i="2"/>
  <c r="AI4513" i="2"/>
  <c r="AJ4513" i="2"/>
  <c r="AF4514" i="2"/>
  <c r="AK4514" i="2" s="1"/>
  <c r="AG4514" i="2"/>
  <c r="AH4514" i="2"/>
  <c r="AL4514" i="2" s="1"/>
  <c r="AI4514" i="2"/>
  <c r="AJ4514" i="2"/>
  <c r="AF4515" i="2"/>
  <c r="AK4515" i="2"/>
  <c r="AG4515" i="2"/>
  <c r="AH4515" i="2"/>
  <c r="AI4515" i="2"/>
  <c r="AJ4515" i="2"/>
  <c r="AF4516" i="2"/>
  <c r="AK4516" i="2"/>
  <c r="AG4516" i="2"/>
  <c r="AH4516" i="2"/>
  <c r="AI4516" i="2"/>
  <c r="AJ4516" i="2"/>
  <c r="AF4517" i="2"/>
  <c r="AK4517" i="2"/>
  <c r="AG4517" i="2"/>
  <c r="AH4517" i="2"/>
  <c r="AI4517" i="2"/>
  <c r="AJ4517" i="2"/>
  <c r="AF4518" i="2"/>
  <c r="AK4518" i="2"/>
  <c r="AG4518" i="2"/>
  <c r="AH4518" i="2"/>
  <c r="AI4518" i="2"/>
  <c r="AJ4518" i="2"/>
  <c r="AF4519" i="2"/>
  <c r="AK4519" i="2" s="1"/>
  <c r="AG4519" i="2"/>
  <c r="AH4519" i="2"/>
  <c r="AI4519" i="2"/>
  <c r="AJ4519" i="2"/>
  <c r="AF4520" i="2"/>
  <c r="AK4520" i="2" s="1"/>
  <c r="AL4520" i="2" s="1"/>
  <c r="AG4520" i="2"/>
  <c r="AH4520" i="2"/>
  <c r="AI4520" i="2"/>
  <c r="AJ4520" i="2"/>
  <c r="AF4521" i="2"/>
  <c r="AK4521" i="2" s="1"/>
  <c r="AG4521" i="2"/>
  <c r="AL4521" i="2" s="1"/>
  <c r="AH4521" i="2"/>
  <c r="AI4521" i="2"/>
  <c r="AJ4521" i="2"/>
  <c r="AF4522" i="2"/>
  <c r="AK4522" i="2"/>
  <c r="AG4522" i="2"/>
  <c r="AH4522" i="2"/>
  <c r="AI4522" i="2"/>
  <c r="AJ4522" i="2"/>
  <c r="AF4523" i="2"/>
  <c r="AK4523" i="2"/>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c r="AG4528" i="2"/>
  <c r="AH4528" i="2"/>
  <c r="AI4528" i="2"/>
  <c r="AJ4528" i="2"/>
  <c r="AF4529" i="2"/>
  <c r="AK4529" i="2" s="1"/>
  <c r="AG4529" i="2"/>
  <c r="AH4529" i="2"/>
  <c r="AI4529" i="2"/>
  <c r="AJ4529" i="2"/>
  <c r="AF4530" i="2"/>
  <c r="AK4530" i="2" s="1"/>
  <c r="AG4530" i="2"/>
  <c r="AH4530" i="2"/>
  <c r="AI4530" i="2"/>
  <c r="AJ4530" i="2"/>
  <c r="AL4530" i="2" s="1"/>
  <c r="AF4531" i="2"/>
  <c r="AK4531" i="2"/>
  <c r="AG4531" i="2"/>
  <c r="AH4531" i="2"/>
  <c r="AI4531" i="2"/>
  <c r="AJ4531" i="2"/>
  <c r="AL4531" i="2"/>
  <c r="AF4532" i="2"/>
  <c r="AK4532" i="2" s="1"/>
  <c r="AG4532" i="2"/>
  <c r="AL4532" i="2" s="1"/>
  <c r="AH4532" i="2"/>
  <c r="AI4532" i="2"/>
  <c r="AJ4532" i="2"/>
  <c r="AF4533" i="2"/>
  <c r="AK4533" i="2"/>
  <c r="AG4533" i="2"/>
  <c r="AH4533" i="2"/>
  <c r="AI4533" i="2"/>
  <c r="AJ4533" i="2"/>
  <c r="AF4534" i="2"/>
  <c r="AK4534" i="2"/>
  <c r="AG4534" i="2"/>
  <c r="AL4534" i="2"/>
  <c r="AH4534" i="2"/>
  <c r="AI4534" i="2"/>
  <c r="AJ4534" i="2"/>
  <c r="AF4535" i="2"/>
  <c r="AK4535" i="2" s="1"/>
  <c r="AG4535" i="2"/>
  <c r="AH4535" i="2"/>
  <c r="AL4535" i="2" s="1"/>
  <c r="AI4535" i="2"/>
  <c r="AJ4535" i="2"/>
  <c r="AF4536" i="2"/>
  <c r="AK4536" i="2"/>
  <c r="AG4536" i="2"/>
  <c r="AH4536" i="2"/>
  <c r="AI4536" i="2"/>
  <c r="AL4536" i="2" s="1"/>
  <c r="AJ4536" i="2"/>
  <c r="AF4537" i="2"/>
  <c r="AK4537" i="2" s="1"/>
  <c r="AG4537" i="2"/>
  <c r="AH4537" i="2"/>
  <c r="AI4537" i="2"/>
  <c r="AJ4537" i="2"/>
  <c r="AF4538" i="2"/>
  <c r="AK4538" i="2" s="1"/>
  <c r="AG4538" i="2"/>
  <c r="AH4538" i="2"/>
  <c r="AI4538" i="2"/>
  <c r="AJ4538" i="2"/>
  <c r="AF4539" i="2"/>
  <c r="AK4539" i="2"/>
  <c r="AG4539" i="2"/>
  <c r="AH4539" i="2"/>
  <c r="AI4539" i="2"/>
  <c r="AJ4539" i="2"/>
  <c r="AF4540" i="2"/>
  <c r="AK4540" i="2"/>
  <c r="AG4540" i="2"/>
  <c r="AL4540" i="2" s="1"/>
  <c r="AH4540" i="2"/>
  <c r="AI4540" i="2"/>
  <c r="AJ4540" i="2"/>
  <c r="AF4541" i="2"/>
  <c r="AK4541" i="2" s="1"/>
  <c r="AG4541" i="2"/>
  <c r="AH4541" i="2"/>
  <c r="AI4541" i="2"/>
  <c r="AJ4541" i="2"/>
  <c r="AF4542" i="2"/>
  <c r="AK4542" i="2"/>
  <c r="AL4542" i="2"/>
  <c r="AG4542" i="2"/>
  <c r="AH4542" i="2"/>
  <c r="AI4542" i="2"/>
  <c r="AJ4542" i="2"/>
  <c r="AF4543" i="2"/>
  <c r="AK4543" i="2" s="1"/>
  <c r="AG4543" i="2"/>
  <c r="AH4543" i="2"/>
  <c r="AI4543" i="2"/>
  <c r="AJ4543" i="2"/>
  <c r="AF4544" i="2"/>
  <c r="AK4544" i="2" s="1"/>
  <c r="AG4544" i="2"/>
  <c r="AH4544" i="2"/>
  <c r="AI4544" i="2"/>
  <c r="AL4544" i="2" s="1"/>
  <c r="AJ4544" i="2"/>
  <c r="AF4545" i="2"/>
  <c r="AK4545" i="2"/>
  <c r="AG4545" i="2"/>
  <c r="AH4545" i="2"/>
  <c r="AI4545" i="2"/>
  <c r="AJ4545" i="2"/>
  <c r="AF4546" i="2"/>
  <c r="AK4546" i="2" s="1"/>
  <c r="AL4546" i="2"/>
  <c r="AG4546" i="2"/>
  <c r="AH4546" i="2"/>
  <c r="AI4546" i="2"/>
  <c r="AJ4546" i="2"/>
  <c r="AF4547" i="2"/>
  <c r="AK4547" i="2"/>
  <c r="AG4547" i="2"/>
  <c r="AH4547" i="2"/>
  <c r="AL4547" i="2" s="1"/>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c r="AG4556" i="2"/>
  <c r="AH4556" i="2"/>
  <c r="AI4556" i="2"/>
  <c r="AJ4556" i="2"/>
  <c r="AF4557" i="2"/>
  <c r="AK4557" i="2"/>
  <c r="AG4557" i="2"/>
  <c r="AH4557" i="2"/>
  <c r="AL4557" i="2"/>
  <c r="AI4557" i="2"/>
  <c r="AJ4557" i="2"/>
  <c r="AF4558" i="2"/>
  <c r="AK4558" i="2" s="1"/>
  <c r="AG4558" i="2"/>
  <c r="AH4558" i="2"/>
  <c r="AI4558" i="2"/>
  <c r="AJ4558" i="2"/>
  <c r="AF4559" i="2"/>
  <c r="AK4559" i="2"/>
  <c r="AL4559" i="2"/>
  <c r="AG4559" i="2"/>
  <c r="AH4559" i="2"/>
  <c r="AI4559" i="2"/>
  <c r="AJ4559" i="2"/>
  <c r="AF4560" i="2"/>
  <c r="AK4560" i="2" s="1"/>
  <c r="AL4560" i="2" s="1"/>
  <c r="AG4560" i="2"/>
  <c r="AH4560" i="2"/>
  <c r="AI4560" i="2"/>
  <c r="AJ4560" i="2"/>
  <c r="AF4561" i="2"/>
  <c r="AK4561" i="2"/>
  <c r="AG4561" i="2"/>
  <c r="AL4561" i="2"/>
  <c r="AH4561" i="2"/>
  <c r="AI4561" i="2"/>
  <c r="AJ4561" i="2"/>
  <c r="AF4562" i="2"/>
  <c r="AK4562" i="2"/>
  <c r="AG4562" i="2"/>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c r="AG4567" i="2"/>
  <c r="AH4567" i="2"/>
  <c r="AI4567" i="2"/>
  <c r="AJ4567" i="2"/>
  <c r="AF4568" i="2"/>
  <c r="AK4568" i="2" s="1"/>
  <c r="AG4568" i="2"/>
  <c r="AH4568" i="2"/>
  <c r="AI4568" i="2"/>
  <c r="AJ4568" i="2"/>
  <c r="AF4569" i="2"/>
  <c r="AK4569" i="2"/>
  <c r="AG4569" i="2"/>
  <c r="AH4569" i="2"/>
  <c r="AI4569" i="2"/>
  <c r="AJ4569" i="2"/>
  <c r="AF4570" i="2"/>
  <c r="AK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c r="AG4578" i="2"/>
  <c r="AH4578" i="2"/>
  <c r="AI4578" i="2"/>
  <c r="AJ4578" i="2"/>
  <c r="AL4578" i="2"/>
  <c r="AF4579" i="2"/>
  <c r="AK4579" i="2" s="1"/>
  <c r="AG4579" i="2"/>
  <c r="AH4579" i="2"/>
  <c r="AI4579" i="2"/>
  <c r="AJ4579" i="2"/>
  <c r="AF4580" i="2"/>
  <c r="AK4580" i="2"/>
  <c r="AG4580" i="2"/>
  <c r="AH4580" i="2"/>
  <c r="AI4580" i="2"/>
  <c r="AJ4580" i="2"/>
  <c r="AF4581" i="2"/>
  <c r="AK4581" i="2"/>
  <c r="AG4581" i="2"/>
  <c r="AH4581" i="2"/>
  <c r="AI4581" i="2"/>
  <c r="AJ4581" i="2"/>
  <c r="AF4582" i="2"/>
  <c r="AK4582" i="2" s="1"/>
  <c r="AG4582" i="2"/>
  <c r="AH4582" i="2"/>
  <c r="AL4582" i="2" s="1"/>
  <c r="AI4582" i="2"/>
  <c r="AJ4582" i="2"/>
  <c r="AF4583" i="2"/>
  <c r="AK4583" i="2" s="1"/>
  <c r="AG4583" i="2"/>
  <c r="AH4583" i="2"/>
  <c r="AI4583" i="2"/>
  <c r="AJ4583" i="2"/>
  <c r="AF4584" i="2"/>
  <c r="AK4584" i="2"/>
  <c r="AG4584" i="2"/>
  <c r="AH4584" i="2"/>
  <c r="AI4584" i="2"/>
  <c r="AJ4584" i="2"/>
  <c r="AF4585" i="2"/>
  <c r="AK4585" i="2" s="1"/>
  <c r="AG4585" i="2"/>
  <c r="AL4585" i="2" s="1"/>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c r="AL4589" i="2"/>
  <c r="AG4589" i="2"/>
  <c r="AH4589" i="2"/>
  <c r="AI4589" i="2"/>
  <c r="AJ4589" i="2"/>
  <c r="AF4590" i="2"/>
  <c r="AK4590" i="2" s="1"/>
  <c r="AG4590" i="2"/>
  <c r="AL4590" i="2"/>
  <c r="AH4590" i="2"/>
  <c r="AI4590" i="2"/>
  <c r="AJ4590" i="2"/>
  <c r="AF4591" i="2"/>
  <c r="AK4591" i="2"/>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s="1"/>
  <c r="AG4595" i="2"/>
  <c r="AL4595" i="2" s="1"/>
  <c r="AH4595" i="2"/>
  <c r="AI4595" i="2"/>
  <c r="AJ4595" i="2"/>
  <c r="AF4596" i="2"/>
  <c r="AK4596" i="2"/>
  <c r="AG4596" i="2"/>
  <c r="AH4596" i="2"/>
  <c r="AL4596" i="2" s="1"/>
  <c r="AI4596" i="2"/>
  <c r="AJ4596" i="2"/>
  <c r="AF4597" i="2"/>
  <c r="AK4597" i="2"/>
  <c r="AG4597" i="2"/>
  <c r="AH4597" i="2"/>
  <c r="AI4597" i="2"/>
  <c r="AJ4597" i="2"/>
  <c r="AL4597" i="2" s="1"/>
  <c r="AF4598" i="2"/>
  <c r="AK4598" i="2"/>
  <c r="AG4598" i="2"/>
  <c r="AH4598" i="2"/>
  <c r="AI4598" i="2"/>
  <c r="AJ4598" i="2"/>
  <c r="AF4599" i="2"/>
  <c r="AK4599" i="2" s="1"/>
  <c r="AG4599" i="2"/>
  <c r="AH4599" i="2"/>
  <c r="AI4599" i="2"/>
  <c r="AJ4599" i="2"/>
  <c r="AF4600" i="2"/>
  <c r="AK4600" i="2"/>
  <c r="AL4600" i="2"/>
  <c r="AG4600" i="2"/>
  <c r="AH4600" i="2"/>
  <c r="AI4600" i="2"/>
  <c r="AJ4600" i="2"/>
  <c r="AF4601" i="2"/>
  <c r="AK4601" i="2" s="1"/>
  <c r="AG4601" i="2"/>
  <c r="AH4601" i="2"/>
  <c r="AI4601" i="2"/>
  <c r="AJ4601" i="2"/>
  <c r="AF4602" i="2"/>
  <c r="AK4602" i="2"/>
  <c r="AG4602" i="2"/>
  <c r="AH4602" i="2"/>
  <c r="AI4602" i="2"/>
  <c r="AJ4602" i="2"/>
  <c r="AF4603" i="2"/>
  <c r="AK4603" i="2" s="1"/>
  <c r="AG4603" i="2"/>
  <c r="AH4603" i="2"/>
  <c r="AL4603" i="2" s="1"/>
  <c r="AI4603" i="2"/>
  <c r="AJ4603" i="2"/>
  <c r="AF4604" i="2"/>
  <c r="AK4604" i="2"/>
  <c r="AG4604" i="2"/>
  <c r="AH4604" i="2"/>
  <c r="AI4604" i="2"/>
  <c r="AL4604" i="2" s="1"/>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c r="AG4608" i="2"/>
  <c r="AH4608" i="2"/>
  <c r="AL4608" i="2"/>
  <c r="AI4608" i="2"/>
  <c r="AJ4608" i="2"/>
  <c r="AF4609" i="2"/>
  <c r="AK4609" i="2" s="1"/>
  <c r="AG4609" i="2"/>
  <c r="AH4609" i="2"/>
  <c r="AI4609" i="2"/>
  <c r="AJ4609" i="2"/>
  <c r="AL4609" i="2" s="1"/>
  <c r="AF4610" i="2"/>
  <c r="AK4610" i="2" s="1"/>
  <c r="AG4610" i="2"/>
  <c r="AH4610" i="2"/>
  <c r="AI4610" i="2"/>
  <c r="AJ4610" i="2"/>
  <c r="AF4611" i="2"/>
  <c r="AK4611" i="2" s="1"/>
  <c r="AL4611" i="2" s="1"/>
  <c r="AG4611" i="2"/>
  <c r="AH4611" i="2"/>
  <c r="AI4611" i="2"/>
  <c r="AJ4611" i="2"/>
  <c r="AF4612" i="2"/>
  <c r="AK4612" i="2" s="1"/>
  <c r="AG4612" i="2"/>
  <c r="AL4612" i="2"/>
  <c r="AH4612" i="2"/>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H4616" i="2"/>
  <c r="AI4616" i="2"/>
  <c r="AJ4616" i="2"/>
  <c r="AL4616" i="2" s="1"/>
  <c r="AF4617" i="2"/>
  <c r="AK4617" i="2"/>
  <c r="AG4617" i="2"/>
  <c r="AH4617" i="2"/>
  <c r="AI4617" i="2"/>
  <c r="AJ4617" i="2"/>
  <c r="AF4618" i="2"/>
  <c r="AK4618" i="2"/>
  <c r="AL4618" i="2" s="1"/>
  <c r="AG4618" i="2"/>
  <c r="AH4618" i="2"/>
  <c r="AI4618" i="2"/>
  <c r="AJ4618" i="2"/>
  <c r="AF4619" i="2"/>
  <c r="AK4619" i="2"/>
  <c r="AG4619" i="2"/>
  <c r="AH4619" i="2"/>
  <c r="AI4619" i="2"/>
  <c r="AJ4619" i="2"/>
  <c r="AF4620" i="2"/>
  <c r="AK4620" i="2"/>
  <c r="AG4620" i="2"/>
  <c r="AH4620" i="2"/>
  <c r="AL4620" i="2"/>
  <c r="AI4620" i="2"/>
  <c r="AJ4620" i="2"/>
  <c r="AF4621" i="2"/>
  <c r="AK4621" i="2" s="1"/>
  <c r="AG4621" i="2"/>
  <c r="AH4621" i="2"/>
  <c r="AI4621" i="2"/>
  <c r="AJ4621" i="2"/>
  <c r="AF4622" i="2"/>
  <c r="AK4622" i="2" s="1"/>
  <c r="AG4622" i="2"/>
  <c r="AH4622" i="2"/>
  <c r="AI4622" i="2"/>
  <c r="AJ4622" i="2"/>
  <c r="AF4623" i="2"/>
  <c r="AK4623" i="2"/>
  <c r="AG4623" i="2"/>
  <c r="AH4623" i="2"/>
  <c r="AI4623" i="2"/>
  <c r="AJ4623" i="2"/>
  <c r="AF4624" i="2"/>
  <c r="AK4624" i="2"/>
  <c r="AG4624" i="2"/>
  <c r="AH4624" i="2"/>
  <c r="AL4624" i="2" s="1"/>
  <c r="AI4624" i="2"/>
  <c r="AJ4624" i="2"/>
  <c r="AF4625" i="2"/>
  <c r="AK4625" i="2" s="1"/>
  <c r="AG4625" i="2"/>
  <c r="AH4625" i="2"/>
  <c r="AI4625" i="2"/>
  <c r="AJ4625" i="2"/>
  <c r="AL4625" i="2" s="1"/>
  <c r="AF4626" i="2"/>
  <c r="AK4626" i="2"/>
  <c r="AG4626" i="2"/>
  <c r="AH4626" i="2"/>
  <c r="AL4626" i="2"/>
  <c r="AI4626" i="2"/>
  <c r="AJ4626" i="2"/>
  <c r="AF4627" i="2"/>
  <c r="AK4627" i="2" s="1"/>
  <c r="AG4627" i="2"/>
  <c r="AH4627" i="2"/>
  <c r="AI4627" i="2"/>
  <c r="AJ4627" i="2"/>
  <c r="AF4628" i="2"/>
  <c r="AK4628" i="2"/>
  <c r="AG4628" i="2"/>
  <c r="AH4628" i="2"/>
  <c r="AI4628" i="2"/>
  <c r="AJ4628" i="2"/>
  <c r="AF4629" i="2"/>
  <c r="AK4629" i="2"/>
  <c r="AG4629" i="2"/>
  <c r="AH4629" i="2"/>
  <c r="AI4629" i="2"/>
  <c r="AJ4629" i="2"/>
  <c r="AF4630" i="2"/>
  <c r="AK4630" i="2"/>
  <c r="AG4630" i="2"/>
  <c r="AH4630" i="2"/>
  <c r="AL4630" i="2" s="1"/>
  <c r="AI4630" i="2"/>
  <c r="AJ4630" i="2"/>
  <c r="AF4631" i="2"/>
  <c r="AK4631" i="2"/>
  <c r="AG4631" i="2"/>
  <c r="AH4631" i="2"/>
  <c r="AI4631" i="2"/>
  <c r="AJ4631" i="2"/>
  <c r="AF4632" i="2"/>
  <c r="AK4632" i="2" s="1"/>
  <c r="AG4632" i="2"/>
  <c r="AH4632" i="2"/>
  <c r="AL4632" i="2" s="1"/>
  <c r="AI4632" i="2"/>
  <c r="AJ4632" i="2"/>
  <c r="AF4633" i="2"/>
  <c r="AK4633" i="2" s="1"/>
  <c r="AG4633" i="2"/>
  <c r="AH4633" i="2"/>
  <c r="AI4633" i="2"/>
  <c r="AJ4633" i="2"/>
  <c r="AF4634" i="2"/>
  <c r="AK4634" i="2"/>
  <c r="AL4634" i="2" s="1"/>
  <c r="AG4634" i="2"/>
  <c r="AH4634" i="2"/>
  <c r="AI4634" i="2"/>
  <c r="AJ4634" i="2"/>
  <c r="AF4635" i="2"/>
  <c r="AK4635" i="2" s="1"/>
  <c r="AG4635" i="2"/>
  <c r="AL4635" i="2" s="1"/>
  <c r="AH4635" i="2"/>
  <c r="AI4635" i="2"/>
  <c r="AJ4635" i="2"/>
  <c r="AF4636" i="2"/>
  <c r="AK4636" i="2"/>
  <c r="AG4636" i="2"/>
  <c r="AH4636" i="2"/>
  <c r="AI4636" i="2"/>
  <c r="AL4636" i="2" s="1"/>
  <c r="AJ4636" i="2"/>
  <c r="AF4637" i="2"/>
  <c r="AK4637" i="2"/>
  <c r="AG4637" i="2"/>
  <c r="AH4637" i="2"/>
  <c r="AL4637" i="2" s="1"/>
  <c r="AI4637" i="2"/>
  <c r="AJ4637" i="2"/>
  <c r="AF4638" i="2"/>
  <c r="AK4638" i="2" s="1"/>
  <c r="AL4638" i="2" s="1"/>
  <c r="AG4638" i="2"/>
  <c r="AH4638" i="2"/>
  <c r="AI4638" i="2"/>
  <c r="AJ4638" i="2"/>
  <c r="AF4639" i="2"/>
  <c r="AK4639" i="2"/>
  <c r="AG4639" i="2"/>
  <c r="AH4639" i="2"/>
  <c r="AI4639" i="2"/>
  <c r="AJ4639" i="2"/>
  <c r="AF4640" i="2"/>
  <c r="AK4640" i="2" s="1"/>
  <c r="AG4640" i="2"/>
  <c r="AL4640" i="2" s="1"/>
  <c r="AH4640" i="2"/>
  <c r="AI4640" i="2"/>
  <c r="AJ4640" i="2"/>
  <c r="AF4641" i="2"/>
  <c r="AK4641" i="2"/>
  <c r="AG4641" i="2"/>
  <c r="AH4641" i="2"/>
  <c r="AI4641" i="2"/>
  <c r="AJ4641" i="2"/>
  <c r="AF4642" i="2"/>
  <c r="AK4642" i="2"/>
  <c r="AG4642" i="2"/>
  <c r="AL4642" i="2" s="1"/>
  <c r="AH4642" i="2"/>
  <c r="AI4642" i="2"/>
  <c r="AJ4642" i="2"/>
  <c r="AF4643" i="2"/>
  <c r="AK4643" i="2" s="1"/>
  <c r="AG4643" i="2"/>
  <c r="AH4643" i="2"/>
  <c r="AI4643" i="2"/>
  <c r="AJ4643" i="2"/>
  <c r="AF4644" i="2"/>
  <c r="AK4644" i="2" s="1"/>
  <c r="AG4644" i="2"/>
  <c r="AH4644" i="2"/>
  <c r="AI4644" i="2"/>
  <c r="AJ4644" i="2"/>
  <c r="AF4645" i="2"/>
  <c r="AK4645" i="2"/>
  <c r="AG4645" i="2"/>
  <c r="AH4645" i="2"/>
  <c r="AI4645" i="2"/>
  <c r="AJ4645" i="2"/>
  <c r="AF4646" i="2"/>
  <c r="AK4646" i="2"/>
  <c r="AG4646" i="2"/>
  <c r="AL4646" i="2"/>
  <c r="AH4646" i="2"/>
  <c r="AI4646" i="2"/>
  <c r="AJ4646" i="2"/>
  <c r="AF4647" i="2"/>
  <c r="AK4647" i="2"/>
  <c r="AG4647" i="2"/>
  <c r="AH4647" i="2"/>
  <c r="AI4647" i="2"/>
  <c r="AJ4647" i="2"/>
  <c r="AF4648" i="2"/>
  <c r="AK4648" i="2"/>
  <c r="AG4648" i="2"/>
  <c r="AH4648" i="2"/>
  <c r="AI4648" i="2"/>
  <c r="AJ4648" i="2"/>
  <c r="AL4648" i="2"/>
  <c r="AF4649" i="2"/>
  <c r="AK4649" i="2" s="1"/>
  <c r="AG4649" i="2"/>
  <c r="AH4649" i="2"/>
  <c r="AI4649" i="2"/>
  <c r="AJ4649" i="2"/>
  <c r="AF4650" i="2"/>
  <c r="AK4650" i="2"/>
  <c r="AL4650" i="2" s="1"/>
  <c r="AG4650" i="2"/>
  <c r="AH4650" i="2"/>
  <c r="AI4650" i="2"/>
  <c r="AJ4650" i="2"/>
  <c r="AF4651" i="2"/>
  <c r="AK4651" i="2"/>
  <c r="AG4651" i="2"/>
  <c r="AH4651" i="2"/>
  <c r="AI4651" i="2"/>
  <c r="AJ4651" i="2"/>
  <c r="AF4652" i="2"/>
  <c r="AK4652" i="2"/>
  <c r="AG4652" i="2"/>
  <c r="AH4652" i="2"/>
  <c r="AI4652" i="2"/>
  <c r="AL4652" i="2"/>
  <c r="AJ4652" i="2"/>
  <c r="AF4653" i="2"/>
  <c r="AK4653" i="2" s="1"/>
  <c r="AG4653" i="2"/>
  <c r="AH4653" i="2"/>
  <c r="AI4653" i="2"/>
  <c r="AL4653" i="2" s="1"/>
  <c r="AJ4653" i="2"/>
  <c r="AF4654" i="2"/>
  <c r="AK4654" i="2"/>
  <c r="AG4654" i="2"/>
  <c r="AH4654" i="2"/>
  <c r="AI4654" i="2"/>
  <c r="AJ4654" i="2"/>
  <c r="AF4655" i="2"/>
  <c r="AK4655" i="2" s="1"/>
  <c r="AG4655" i="2"/>
  <c r="AH4655" i="2"/>
  <c r="AI4655" i="2"/>
  <c r="AJ4655" i="2"/>
  <c r="AF4656" i="2"/>
  <c r="AK4656" i="2"/>
  <c r="AG4656" i="2"/>
  <c r="AH4656" i="2"/>
  <c r="AI4656" i="2"/>
  <c r="AL4656" i="2" s="1"/>
  <c r="AJ4656" i="2"/>
  <c r="AF4657" i="2"/>
  <c r="AK4657" i="2"/>
  <c r="AG4657" i="2"/>
  <c r="AH4657" i="2"/>
  <c r="AI4657" i="2"/>
  <c r="AJ4657" i="2"/>
  <c r="AF4658" i="2"/>
  <c r="AK4658" i="2"/>
  <c r="AG4658" i="2"/>
  <c r="AH4658" i="2"/>
  <c r="AI4658" i="2"/>
  <c r="AJ4658" i="2"/>
  <c r="AF4659" i="2"/>
  <c r="AK4659" i="2"/>
  <c r="AG4659" i="2"/>
  <c r="AH4659" i="2"/>
  <c r="AI4659" i="2"/>
  <c r="AJ4659" i="2"/>
  <c r="AF4660" i="2"/>
  <c r="AK4660" i="2" s="1"/>
  <c r="AG4660" i="2"/>
  <c r="AH4660" i="2"/>
  <c r="AI4660" i="2"/>
  <c r="AJ4660" i="2"/>
  <c r="AF4661" i="2"/>
  <c r="AK4661" i="2"/>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s="1"/>
  <c r="AL4667" i="2"/>
  <c r="AG4667" i="2"/>
  <c r="AH4667" i="2"/>
  <c r="AI4667" i="2"/>
  <c r="AJ4667" i="2"/>
  <c r="AF4668" i="2"/>
  <c r="AK4668" i="2"/>
  <c r="AG4668" i="2"/>
  <c r="AH4668" i="2"/>
  <c r="AI4668" i="2"/>
  <c r="AJ4668" i="2"/>
  <c r="AF4669" i="2"/>
  <c r="AK4669" i="2" s="1"/>
  <c r="AG4669" i="2"/>
  <c r="AH4669" i="2"/>
  <c r="AI4669" i="2"/>
  <c r="AL4669" i="2" s="1"/>
  <c r="AJ4669" i="2"/>
  <c r="AF4670" i="2"/>
  <c r="AK4670" i="2"/>
  <c r="AL4670" i="2" s="1"/>
  <c r="AG4670" i="2"/>
  <c r="AH4670" i="2"/>
  <c r="AI4670" i="2"/>
  <c r="AJ4670" i="2"/>
  <c r="AF4671" i="2"/>
  <c r="AK4671" i="2"/>
  <c r="AG4671" i="2"/>
  <c r="AH4671" i="2"/>
  <c r="AL4671" i="2" s="1"/>
  <c r="AI4671" i="2"/>
  <c r="AJ4671" i="2"/>
  <c r="AF4672" i="2"/>
  <c r="AK4672" i="2" s="1"/>
  <c r="AG4672" i="2"/>
  <c r="AH4672" i="2"/>
  <c r="AI4672" i="2"/>
  <c r="AJ4672" i="2"/>
  <c r="AF4673" i="2"/>
  <c r="AK4673" i="2"/>
  <c r="AG4673" i="2"/>
  <c r="AH4673" i="2"/>
  <c r="AI4673" i="2"/>
  <c r="AJ4673" i="2"/>
  <c r="AF4674" i="2"/>
  <c r="AK4674" i="2"/>
  <c r="AG4674" i="2"/>
  <c r="AL4674" i="2" s="1"/>
  <c r="AH4674" i="2"/>
  <c r="AI4674" i="2"/>
  <c r="AJ4674" i="2"/>
  <c r="AF4675" i="2"/>
  <c r="AK4675" i="2" s="1"/>
  <c r="AG4675" i="2"/>
  <c r="AH4675" i="2"/>
  <c r="AI4675" i="2"/>
  <c r="AJ4675" i="2"/>
  <c r="AL4675" i="2" s="1"/>
  <c r="AF4676" i="2"/>
  <c r="AK4676" i="2" s="1"/>
  <c r="AG4676" i="2"/>
  <c r="AH4676" i="2"/>
  <c r="AI4676" i="2"/>
  <c r="AJ4676" i="2"/>
  <c r="AF4677" i="2"/>
  <c r="AK4677" i="2" s="1"/>
  <c r="AL4677" i="2" s="1"/>
  <c r="AG4677" i="2"/>
  <c r="AH4677" i="2"/>
  <c r="AI4677" i="2"/>
  <c r="AJ4677" i="2"/>
  <c r="AF4678" i="2"/>
  <c r="AK4678" i="2" s="1"/>
  <c r="AG4678" i="2"/>
  <c r="AH4678" i="2"/>
  <c r="AI4678" i="2"/>
  <c r="AJ4678" i="2"/>
  <c r="AL4678" i="2" s="1"/>
  <c r="AF4679" i="2"/>
  <c r="AK4679" i="2"/>
  <c r="AG4679" i="2"/>
  <c r="AH4679" i="2"/>
  <c r="AI4679" i="2"/>
  <c r="AJ4679" i="2"/>
  <c r="AF4680" i="2"/>
  <c r="AK4680" i="2"/>
  <c r="AG4680" i="2"/>
  <c r="AH4680" i="2"/>
  <c r="AI4680" i="2"/>
  <c r="AJ4680" i="2"/>
  <c r="AF4681" i="2"/>
  <c r="AK4681" i="2" s="1"/>
  <c r="AG4681" i="2"/>
  <c r="AH4681" i="2"/>
  <c r="AI4681" i="2"/>
  <c r="AJ4681" i="2"/>
  <c r="AF4682" i="2"/>
  <c r="AK4682" i="2"/>
  <c r="AG4682" i="2"/>
  <c r="AH4682" i="2"/>
  <c r="AL4682" i="2" s="1"/>
  <c r="AI4682" i="2"/>
  <c r="AJ4682" i="2"/>
  <c r="AF4683" i="2"/>
  <c r="AK4683" i="2"/>
  <c r="AG4683" i="2"/>
  <c r="AH4683" i="2"/>
  <c r="AI4683" i="2"/>
  <c r="AJ4683" i="2"/>
  <c r="AF4684" i="2"/>
  <c r="AK4684" i="2" s="1"/>
  <c r="AG4684" i="2"/>
  <c r="AH4684" i="2"/>
  <c r="AI4684" i="2"/>
  <c r="AJ4684" i="2"/>
  <c r="AF4685" i="2"/>
  <c r="AK4685" i="2"/>
  <c r="AG4685" i="2"/>
  <c r="AH4685" i="2"/>
  <c r="AI4685" i="2"/>
  <c r="AL4685" i="2" s="1"/>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s="1"/>
  <c r="AG4689" i="2"/>
  <c r="AH4689" i="2"/>
  <c r="AI4689" i="2"/>
  <c r="AJ4689" i="2"/>
  <c r="AF4690" i="2"/>
  <c r="AK4690" i="2"/>
  <c r="AG4690" i="2"/>
  <c r="AH4690" i="2"/>
  <c r="AI4690" i="2"/>
  <c r="AL4690" i="2" s="1"/>
  <c r="AJ4690" i="2"/>
  <c r="AF4691" i="2"/>
  <c r="AK4691" i="2" s="1"/>
  <c r="AG4691" i="2"/>
  <c r="AL4691" i="2" s="1"/>
  <c r="AH4691" i="2"/>
  <c r="AI4691" i="2"/>
  <c r="AJ4691" i="2"/>
  <c r="AF4692" i="2"/>
  <c r="AK4692" i="2"/>
  <c r="AG4692" i="2"/>
  <c r="AH4692" i="2"/>
  <c r="AI4692" i="2"/>
  <c r="AJ4692" i="2"/>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G4696" i="2"/>
  <c r="AL4696" i="2" s="1"/>
  <c r="AH4696" i="2"/>
  <c r="AI4696" i="2"/>
  <c r="AJ4696" i="2"/>
  <c r="AF4697" i="2"/>
  <c r="AK4697" i="2"/>
  <c r="AG4697" i="2"/>
  <c r="AH4697" i="2"/>
  <c r="AI4697" i="2"/>
  <c r="AJ4697" i="2"/>
  <c r="AF4698" i="2"/>
  <c r="AK4698" i="2" s="1"/>
  <c r="AG4698" i="2"/>
  <c r="AH4698" i="2"/>
  <c r="AI4698" i="2"/>
  <c r="AJ4698" i="2"/>
  <c r="AF4699" i="2"/>
  <c r="AK4699" i="2" s="1"/>
  <c r="AG4699" i="2"/>
  <c r="AH4699" i="2"/>
  <c r="AI4699" i="2"/>
  <c r="AJ4699" i="2"/>
  <c r="AF4700" i="2"/>
  <c r="AK4700" i="2" s="1"/>
  <c r="AG4700" i="2"/>
  <c r="AH4700" i="2"/>
  <c r="AI4700" i="2"/>
  <c r="AJ4700" i="2"/>
  <c r="AF4701" i="2"/>
  <c r="AK4701" i="2"/>
  <c r="AG4701" i="2"/>
  <c r="AH4701" i="2"/>
  <c r="AL4701" i="2" s="1"/>
  <c r="AI4701" i="2"/>
  <c r="AJ4701" i="2"/>
  <c r="AF4702" i="2"/>
  <c r="AK4702" i="2" s="1"/>
  <c r="AG4702" i="2"/>
  <c r="AL4702" i="2" s="1"/>
  <c r="AH4702" i="2"/>
  <c r="AI4702" i="2"/>
  <c r="AJ4702" i="2"/>
  <c r="AF4703" i="2"/>
  <c r="AK4703" i="2"/>
  <c r="AG4703" i="2"/>
  <c r="AH4703" i="2"/>
  <c r="AL4703" i="2" s="1"/>
  <c r="AI4703" i="2"/>
  <c r="AJ4703" i="2"/>
  <c r="AF4704" i="2"/>
  <c r="AK4704" i="2"/>
  <c r="AG4704" i="2"/>
  <c r="AH4704" i="2"/>
  <c r="AI4704" i="2"/>
  <c r="AL4704" i="2" s="1"/>
  <c r="AJ4704" i="2"/>
  <c r="AF4705" i="2"/>
  <c r="AK4705" i="2"/>
  <c r="AG4705" i="2"/>
  <c r="AH4705" i="2"/>
  <c r="AI4705" i="2"/>
  <c r="AJ4705" i="2"/>
  <c r="AF4706" i="2"/>
  <c r="AK4706" i="2" s="1"/>
  <c r="AL4706" i="2" s="1"/>
  <c r="AG4706" i="2"/>
  <c r="AH4706" i="2"/>
  <c r="AI4706" i="2"/>
  <c r="AJ4706" i="2"/>
  <c r="AF4707" i="2"/>
  <c r="AK4707" i="2"/>
  <c r="AG4707" i="2"/>
  <c r="AH4707" i="2"/>
  <c r="AI4707" i="2"/>
  <c r="AJ4707" i="2"/>
  <c r="AF4708" i="2"/>
  <c r="AK4708" i="2" s="1"/>
  <c r="AG4708" i="2"/>
  <c r="AH4708" i="2"/>
  <c r="AI4708" i="2"/>
  <c r="AJ4708" i="2"/>
  <c r="AF4709" i="2"/>
  <c r="AK4709" i="2"/>
  <c r="AG4709" i="2"/>
  <c r="AH4709" i="2"/>
  <c r="AI4709" i="2"/>
  <c r="AJ4709" i="2"/>
  <c r="AL4709" i="2" s="1"/>
  <c r="AF4710" i="2"/>
  <c r="AK4710" i="2"/>
  <c r="AG4710" i="2"/>
  <c r="AL4710" i="2" s="1"/>
  <c r="AH4710" i="2"/>
  <c r="AI4710" i="2"/>
  <c r="AJ4710" i="2"/>
  <c r="AF4711" i="2"/>
  <c r="AK4711" i="2" s="1"/>
  <c r="AG4711" i="2"/>
  <c r="AH4711" i="2"/>
  <c r="AI4711" i="2"/>
  <c r="AJ4711" i="2"/>
  <c r="AF4712" i="2"/>
  <c r="AK4712" i="2" s="1"/>
  <c r="AG4712" i="2"/>
  <c r="AH4712" i="2"/>
  <c r="AI4712" i="2"/>
  <c r="AJ4712" i="2"/>
  <c r="AF4713" i="2"/>
  <c r="AK4713" i="2" s="1"/>
  <c r="AG4713" i="2"/>
  <c r="AH4713" i="2"/>
  <c r="AI4713" i="2"/>
  <c r="AJ4713" i="2"/>
  <c r="AL4713" i="2" s="1"/>
  <c r="AF4714" i="2"/>
  <c r="AK4714" i="2"/>
  <c r="AG4714" i="2"/>
  <c r="AH4714" i="2"/>
  <c r="AI4714" i="2"/>
  <c r="AJ4714" i="2"/>
  <c r="AF4715" i="2"/>
  <c r="AK4715" i="2" s="1"/>
  <c r="AG4715" i="2"/>
  <c r="AL4715" i="2" s="1"/>
  <c r="AH4715" i="2"/>
  <c r="AI4715" i="2"/>
  <c r="AJ4715" i="2"/>
  <c r="AF4716" i="2"/>
  <c r="AK4716" i="2"/>
  <c r="AG4716" i="2"/>
  <c r="AH4716" i="2"/>
  <c r="AI4716" i="2"/>
  <c r="AJ4716" i="2"/>
  <c r="AF4717" i="2"/>
  <c r="AK4717" i="2" s="1"/>
  <c r="AG4717" i="2"/>
  <c r="AH4717" i="2"/>
  <c r="AI4717" i="2"/>
  <c r="AL4717" i="2" s="1"/>
  <c r="AJ4717" i="2"/>
  <c r="AF4718" i="2"/>
  <c r="AK4718" i="2"/>
  <c r="AG4718" i="2"/>
  <c r="AH4718" i="2"/>
  <c r="AI4718" i="2"/>
  <c r="AJ4718" i="2"/>
  <c r="AF4719" i="2"/>
  <c r="AK4719" i="2" s="1"/>
  <c r="AG4719" i="2"/>
  <c r="AH4719" i="2"/>
  <c r="AI4719" i="2"/>
  <c r="AJ4719" i="2"/>
  <c r="AF4720" i="2"/>
  <c r="AK4720" i="2"/>
  <c r="AG4720" i="2"/>
  <c r="AH4720" i="2"/>
  <c r="AI4720" i="2"/>
  <c r="AJ4720" i="2"/>
  <c r="AF4721" i="2"/>
  <c r="AK4721" i="2"/>
  <c r="AG4721" i="2"/>
  <c r="AH4721" i="2"/>
  <c r="AL4721" i="2" s="1"/>
  <c r="AI4721" i="2"/>
  <c r="AJ4721" i="2"/>
  <c r="AF4722" i="2"/>
  <c r="AK4722" i="2"/>
  <c r="AG4722" i="2"/>
  <c r="AL4722" i="2" s="1"/>
  <c r="AH4722" i="2"/>
  <c r="AI4722" i="2"/>
  <c r="AJ4722" i="2"/>
  <c r="AF4723" i="2"/>
  <c r="AK4723" i="2" s="1"/>
  <c r="AG4723" i="2"/>
  <c r="AH4723" i="2"/>
  <c r="AL4723" i="2" s="1"/>
  <c r="AI4723" i="2"/>
  <c r="AJ4723" i="2"/>
  <c r="AF4724" i="2"/>
  <c r="AK4724" i="2" s="1"/>
  <c r="AG4724" i="2"/>
  <c r="AH4724" i="2"/>
  <c r="AI4724" i="2"/>
  <c r="AJ4724" i="2"/>
  <c r="AF4725" i="2"/>
  <c r="AK4725" i="2"/>
  <c r="AG4725" i="2"/>
  <c r="AH4725" i="2"/>
  <c r="AI4725" i="2"/>
  <c r="AJ4725" i="2"/>
  <c r="AF4726" i="2"/>
  <c r="AK4726" i="2" s="1"/>
  <c r="AG4726" i="2"/>
  <c r="AH4726" i="2"/>
  <c r="AI4726" i="2"/>
  <c r="AJ4726" i="2"/>
  <c r="AF4727" i="2"/>
  <c r="AK4727" i="2"/>
  <c r="AG4727" i="2"/>
  <c r="AH4727" i="2"/>
  <c r="AL4727" i="2" s="1"/>
  <c r="AI4727" i="2"/>
  <c r="AJ4727" i="2"/>
  <c r="AF4728" i="2"/>
  <c r="AK4728" i="2"/>
  <c r="AG4728" i="2"/>
  <c r="AH4728" i="2"/>
  <c r="AL4728" i="2" s="1"/>
  <c r="AI4728" i="2"/>
  <c r="AJ4728" i="2"/>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c r="AG4732" i="2"/>
  <c r="AH4732" i="2"/>
  <c r="AL4732" i="2"/>
  <c r="AI4732" i="2"/>
  <c r="AJ4732" i="2"/>
  <c r="AF4733" i="2"/>
  <c r="AK4733" i="2" s="1"/>
  <c r="AG4733" i="2"/>
  <c r="AH4733" i="2"/>
  <c r="AI4733" i="2"/>
  <c r="AJ4733" i="2"/>
  <c r="AF4734" i="2"/>
  <c r="AK4734" i="2"/>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c r="AG4739" i="2"/>
  <c r="AH4739" i="2"/>
  <c r="AI4739" i="2"/>
  <c r="AJ4739" i="2"/>
  <c r="AF4740" i="2"/>
  <c r="AK4740" i="2" s="1"/>
  <c r="AG4740" i="2"/>
  <c r="AH4740" i="2"/>
  <c r="AI4740" i="2"/>
  <c r="AL4740" i="2" s="1"/>
  <c r="AJ4740" i="2"/>
  <c r="AF4741" i="2"/>
  <c r="AK4741" i="2"/>
  <c r="AG4741" i="2"/>
  <c r="AH4741" i="2"/>
  <c r="AL4741" i="2" s="1"/>
  <c r="AI4741" i="2"/>
  <c r="AJ4741" i="2"/>
  <c r="AF4742" i="2"/>
  <c r="AK4742" i="2" s="1"/>
  <c r="AG4742" i="2"/>
  <c r="AL4742" i="2" s="1"/>
  <c r="AH4742" i="2"/>
  <c r="AI4742" i="2"/>
  <c r="AJ4742" i="2"/>
  <c r="AF4743" i="2"/>
  <c r="AK4743" i="2" s="1"/>
  <c r="AG4743" i="2"/>
  <c r="AH4743" i="2"/>
  <c r="AL4743" i="2" s="1"/>
  <c r="AI4743" i="2"/>
  <c r="AJ4743" i="2"/>
  <c r="AF4744" i="2"/>
  <c r="AK4744" i="2"/>
  <c r="AL4744" i="2" s="1"/>
  <c r="AG4744" i="2"/>
  <c r="AH4744" i="2"/>
  <c r="AI4744" i="2"/>
  <c r="AJ4744" i="2"/>
  <c r="AF4745" i="2"/>
  <c r="AK4745" i="2" s="1"/>
  <c r="AL4745" i="2"/>
  <c r="AG4745" i="2"/>
  <c r="AH4745" i="2"/>
  <c r="AI4745" i="2"/>
  <c r="AJ4745" i="2"/>
  <c r="AF4746" i="2"/>
  <c r="AK4746" i="2"/>
  <c r="AG4746" i="2"/>
  <c r="AH4746" i="2"/>
  <c r="AI4746" i="2"/>
  <c r="AJ4746" i="2"/>
  <c r="AF4747" i="2"/>
  <c r="AK4747" i="2"/>
  <c r="AG4747" i="2"/>
  <c r="AH4747" i="2"/>
  <c r="AI4747" i="2"/>
  <c r="AL4747" i="2" s="1"/>
  <c r="AJ4747" i="2"/>
  <c r="AF4748" i="2"/>
  <c r="AK4748" i="2" s="1"/>
  <c r="AG4748" i="2"/>
  <c r="AH4748" i="2"/>
  <c r="AI4748" i="2"/>
  <c r="AJ4748" i="2"/>
  <c r="AF4749" i="2"/>
  <c r="AK4749" i="2" s="1"/>
  <c r="AG4749" i="2"/>
  <c r="AL4749" i="2" s="1"/>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c r="AG4753" i="2"/>
  <c r="AH4753" i="2"/>
  <c r="AL4753" i="2" s="1"/>
  <c r="AI4753" i="2"/>
  <c r="AJ4753" i="2"/>
  <c r="AF4754" i="2"/>
  <c r="AK4754" i="2" s="1"/>
  <c r="AG4754" i="2"/>
  <c r="AL4754" i="2" s="1"/>
  <c r="AH4754" i="2"/>
  <c r="AI4754" i="2"/>
  <c r="AJ4754" i="2"/>
  <c r="AF4755" i="2"/>
  <c r="AK4755" i="2" s="1"/>
  <c r="AG4755" i="2"/>
  <c r="AH4755" i="2"/>
  <c r="AI4755" i="2"/>
  <c r="AJ4755" i="2"/>
  <c r="AF4756" i="2"/>
  <c r="AK4756" i="2"/>
  <c r="AG4756" i="2"/>
  <c r="AL4756" i="2" s="1"/>
  <c r="AH4756" i="2"/>
  <c r="AI4756" i="2"/>
  <c r="AJ4756" i="2"/>
  <c r="AF4757" i="2"/>
  <c r="AK4757" i="2"/>
  <c r="AG4757" i="2"/>
  <c r="AH4757" i="2"/>
  <c r="AI4757" i="2"/>
  <c r="AJ4757" i="2"/>
  <c r="AF4758" i="2"/>
  <c r="AK4758" i="2"/>
  <c r="AG4758" i="2"/>
  <c r="AH4758" i="2"/>
  <c r="AI4758" i="2"/>
  <c r="AJ4758" i="2"/>
  <c r="AF4759" i="2"/>
  <c r="AK4759" i="2"/>
  <c r="AG4759" i="2"/>
  <c r="AH4759" i="2"/>
  <c r="AI4759" i="2"/>
  <c r="AJ4759" i="2"/>
  <c r="AF4760" i="2"/>
  <c r="AK4760" i="2" s="1"/>
  <c r="AL4760" i="2" s="1"/>
  <c r="AG4760" i="2"/>
  <c r="AH4760" i="2"/>
  <c r="AI4760" i="2"/>
  <c r="AJ4760" i="2"/>
  <c r="AF4761" i="2"/>
  <c r="AK4761" i="2"/>
  <c r="AG4761" i="2"/>
  <c r="AH4761" i="2"/>
  <c r="AI4761" i="2"/>
  <c r="AJ4761" i="2"/>
  <c r="AF4762" i="2"/>
  <c r="AK4762" i="2" s="1"/>
  <c r="AG4762" i="2"/>
  <c r="AL4762" i="2" s="1"/>
  <c r="AH4762" i="2"/>
  <c r="AI4762" i="2"/>
  <c r="AJ4762" i="2"/>
  <c r="AF4763" i="2"/>
  <c r="AK4763" i="2"/>
  <c r="AG4763" i="2"/>
  <c r="AH4763" i="2"/>
  <c r="AI4763" i="2"/>
  <c r="AJ4763" i="2"/>
  <c r="AF4764" i="2"/>
  <c r="AK4764" i="2"/>
  <c r="AG4764" i="2"/>
  <c r="AL4764" i="2" s="1"/>
  <c r="AH4764" i="2"/>
  <c r="AI4764" i="2"/>
  <c r="AJ4764" i="2"/>
  <c r="AF4765" i="2"/>
  <c r="AK4765" i="2" s="1"/>
  <c r="AG4765" i="2"/>
  <c r="AH4765" i="2"/>
  <c r="AI4765" i="2"/>
  <c r="AL4765" i="2" s="1"/>
  <c r="AJ4765" i="2"/>
  <c r="AF4766" i="2"/>
  <c r="AK4766" i="2"/>
  <c r="AG4766" i="2"/>
  <c r="AH4766" i="2"/>
  <c r="AI4766" i="2"/>
  <c r="AJ4766" i="2"/>
  <c r="AF4767" i="2"/>
  <c r="AK4767" i="2" s="1"/>
  <c r="AG4767" i="2"/>
  <c r="AH4767" i="2"/>
  <c r="AI4767" i="2"/>
  <c r="AJ4767" i="2"/>
  <c r="AF4768" i="2"/>
  <c r="AK4768" i="2"/>
  <c r="AL4768" i="2" s="1"/>
  <c r="AG4768" i="2"/>
  <c r="AH4768" i="2"/>
  <c r="AI4768" i="2"/>
  <c r="AJ4768" i="2"/>
  <c r="AF4769" i="2"/>
  <c r="AK4769" i="2" s="1"/>
  <c r="AG4769" i="2"/>
  <c r="AL4769" i="2" s="1"/>
  <c r="AH4769" i="2"/>
  <c r="AI4769" i="2"/>
  <c r="AJ4769" i="2"/>
  <c r="AF4770" i="2"/>
  <c r="AK4770" i="2"/>
  <c r="AG4770" i="2"/>
  <c r="AH4770" i="2"/>
  <c r="AI4770" i="2"/>
  <c r="AL4770" i="2" s="1"/>
  <c r="AJ4770" i="2"/>
  <c r="AF4771" i="2"/>
  <c r="AK4771" i="2" s="1"/>
  <c r="AG4771" i="2"/>
  <c r="AH4771" i="2"/>
  <c r="AI4771" i="2"/>
  <c r="AJ4771" i="2"/>
  <c r="AF4772" i="2"/>
  <c r="AK4772" i="2" s="1"/>
  <c r="AG4772" i="2"/>
  <c r="AH4772" i="2"/>
  <c r="AI4772" i="2"/>
  <c r="AJ4772" i="2"/>
  <c r="AF4773" i="2"/>
  <c r="AK4773" i="2"/>
  <c r="AG4773" i="2"/>
  <c r="AH4773" i="2"/>
  <c r="AI4773" i="2"/>
  <c r="AJ4773" i="2"/>
  <c r="AF4774" i="2"/>
  <c r="AK4774" i="2" s="1"/>
  <c r="AG4774" i="2"/>
  <c r="AH4774" i="2"/>
  <c r="AI4774" i="2"/>
  <c r="AJ4774" i="2"/>
  <c r="AF4775" i="2"/>
  <c r="AK4775" i="2"/>
  <c r="AG4775" i="2"/>
  <c r="AH4775" i="2"/>
  <c r="AI4775" i="2"/>
  <c r="AJ4775" i="2"/>
  <c r="AF4776" i="2"/>
  <c r="AK4776" i="2"/>
  <c r="AG4776" i="2"/>
  <c r="AH4776" i="2"/>
  <c r="AL4776" i="2" s="1"/>
  <c r="AI4776" i="2"/>
  <c r="AJ4776" i="2"/>
  <c r="AF4777" i="2"/>
  <c r="AK4777" i="2" s="1"/>
  <c r="AG4777" i="2"/>
  <c r="AH4777" i="2"/>
  <c r="AI4777" i="2"/>
  <c r="AJ4777" i="2"/>
  <c r="AF4778" i="2"/>
  <c r="AK4778" i="2"/>
  <c r="AG4778" i="2"/>
  <c r="AH4778" i="2"/>
  <c r="AI4778" i="2"/>
  <c r="AJ4778" i="2"/>
  <c r="AF4779" i="2"/>
  <c r="AK4779" i="2"/>
  <c r="AL4779" i="2" s="1"/>
  <c r="AG4779" i="2"/>
  <c r="AH4779" i="2"/>
  <c r="AI4779" i="2"/>
  <c r="AJ4779" i="2"/>
  <c r="AF4780" i="2"/>
  <c r="AK4780" i="2" s="1"/>
  <c r="AG4780" i="2"/>
  <c r="AH4780" i="2"/>
  <c r="AI4780" i="2"/>
  <c r="AJ4780" i="2"/>
  <c r="AF4781" i="2"/>
  <c r="AK4781" i="2"/>
  <c r="AG4781" i="2"/>
  <c r="AH4781" i="2"/>
  <c r="AL4781" i="2"/>
  <c r="AI4781" i="2"/>
  <c r="AJ4781" i="2"/>
  <c r="AF4782" i="2"/>
  <c r="AK4782" i="2" s="1"/>
  <c r="AG4782" i="2"/>
  <c r="AH4782" i="2"/>
  <c r="AI4782" i="2"/>
  <c r="AJ4782" i="2"/>
  <c r="AF4783" i="2"/>
  <c r="AK4783" i="2"/>
  <c r="AG4783" i="2"/>
  <c r="AH4783" i="2"/>
  <c r="AL4783" i="2" s="1"/>
  <c r="AI4783" i="2"/>
  <c r="AJ4783" i="2"/>
  <c r="AF4784" i="2"/>
  <c r="AK4784" i="2" s="1"/>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L4787" i="2" s="1"/>
  <c r="AI4787" i="2"/>
  <c r="AJ4787" i="2"/>
  <c r="AF4788" i="2"/>
  <c r="AK4788" i="2" s="1"/>
  <c r="AG4788" i="2"/>
  <c r="AH4788" i="2"/>
  <c r="AI4788" i="2"/>
  <c r="AJ4788" i="2"/>
  <c r="AF4789" i="2"/>
  <c r="AK4789" i="2"/>
  <c r="AG4789" i="2"/>
  <c r="AH4789" i="2"/>
  <c r="AI4789" i="2"/>
  <c r="AJ4789" i="2"/>
  <c r="AF4790" i="2"/>
  <c r="AK4790" i="2"/>
  <c r="AG4790" i="2"/>
  <c r="AH4790" i="2"/>
  <c r="AI4790" i="2"/>
  <c r="AJ4790" i="2"/>
  <c r="AL4790" i="2" s="1"/>
  <c r="AF4791" i="2"/>
  <c r="AK4791" i="2"/>
  <c r="AG4791" i="2"/>
  <c r="AL4791" i="2" s="1"/>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c r="AG4795" i="2"/>
  <c r="AL4795" i="2" s="1"/>
  <c r="AH4795" i="2"/>
  <c r="AI4795" i="2"/>
  <c r="AJ4795" i="2"/>
  <c r="AF4796" i="2"/>
  <c r="AK4796" i="2" s="1"/>
  <c r="AG4796" i="2"/>
  <c r="AH4796" i="2"/>
  <c r="AI4796" i="2"/>
  <c r="AJ4796" i="2"/>
  <c r="AL4796" i="2" s="1"/>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c r="AG4805" i="2"/>
  <c r="AH4805" i="2"/>
  <c r="AI4805" i="2"/>
  <c r="AJ4805" i="2"/>
  <c r="AF4806" i="2"/>
  <c r="AK4806" i="2" s="1"/>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s="1"/>
  <c r="AG4810" i="2"/>
  <c r="AH4810" i="2"/>
  <c r="AI4810" i="2"/>
  <c r="AL4810" i="2" s="1"/>
  <c r="AJ4810" i="2"/>
  <c r="AF4811" i="2"/>
  <c r="AK4811" i="2"/>
  <c r="AG4811" i="2"/>
  <c r="AH4811" i="2"/>
  <c r="AI4811" i="2"/>
  <c r="AJ4811" i="2"/>
  <c r="AF4812" i="2"/>
  <c r="AK4812" i="2" s="1"/>
  <c r="AG4812" i="2"/>
  <c r="AH4812" i="2"/>
  <c r="AI4812" i="2"/>
  <c r="AJ4812" i="2"/>
  <c r="AF4813" i="2"/>
  <c r="AK4813" i="2"/>
  <c r="AG4813" i="2"/>
  <c r="AH4813" i="2"/>
  <c r="AI4813" i="2"/>
  <c r="AJ4813" i="2"/>
  <c r="AF4814" i="2"/>
  <c r="AK4814" i="2"/>
  <c r="AG4814" i="2"/>
  <c r="AH4814" i="2"/>
  <c r="AI4814" i="2"/>
  <c r="AJ4814" i="2"/>
  <c r="AF4815" i="2"/>
  <c r="AK4815" i="2"/>
  <c r="AG4815" i="2"/>
  <c r="AH4815" i="2"/>
  <c r="AI4815" i="2"/>
  <c r="AL4815" i="2" s="1"/>
  <c r="AJ4815" i="2"/>
  <c r="AF4816" i="2"/>
  <c r="AK4816" i="2" s="1"/>
  <c r="AG4816" i="2"/>
  <c r="AH4816" i="2"/>
  <c r="AI4816" i="2"/>
  <c r="AJ4816" i="2"/>
  <c r="AF4817" i="2"/>
  <c r="AK4817" i="2" s="1"/>
  <c r="AG4817" i="2"/>
  <c r="AL4817" i="2" s="1"/>
  <c r="AH4817" i="2"/>
  <c r="AI4817" i="2"/>
  <c r="AJ4817" i="2"/>
  <c r="AF4818" i="2"/>
  <c r="AK4818" i="2"/>
  <c r="AG4818" i="2"/>
  <c r="AH4818" i="2"/>
  <c r="AI4818" i="2"/>
  <c r="AL4818" i="2" s="1"/>
  <c r="AJ4818" i="2"/>
  <c r="AF4819" i="2"/>
  <c r="AK4819" i="2"/>
  <c r="AG4819" i="2"/>
  <c r="AH4819" i="2"/>
  <c r="AI4819" i="2"/>
  <c r="AJ4819" i="2"/>
  <c r="AF4820" i="2"/>
  <c r="AK4820" i="2" s="1"/>
  <c r="AG4820" i="2"/>
  <c r="AH4820" i="2"/>
  <c r="AI4820" i="2"/>
  <c r="AL4820" i="2" s="1"/>
  <c r="AJ4820" i="2"/>
  <c r="AF4821" i="2"/>
  <c r="AK4821" i="2"/>
  <c r="AG4821" i="2"/>
  <c r="AH4821" i="2"/>
  <c r="AI4821" i="2"/>
  <c r="AJ4821" i="2"/>
  <c r="AF4822" i="2"/>
  <c r="AK4822" i="2" s="1"/>
  <c r="AG4822" i="2"/>
  <c r="AH4822" i="2"/>
  <c r="AI4822" i="2"/>
  <c r="AJ4822" i="2"/>
  <c r="AL4822" i="2" s="1"/>
  <c r="AF4823" i="2"/>
  <c r="AK4823" i="2"/>
  <c r="AG4823" i="2"/>
  <c r="AH4823" i="2"/>
  <c r="AI4823" i="2"/>
  <c r="AJ4823" i="2"/>
  <c r="AF4824" i="2"/>
  <c r="AK4824" i="2" s="1"/>
  <c r="AG4824" i="2"/>
  <c r="AH4824" i="2"/>
  <c r="AI4824" i="2"/>
  <c r="AJ4824" i="2"/>
  <c r="AF4825" i="2"/>
  <c r="AK4825" i="2"/>
  <c r="AG4825" i="2"/>
  <c r="AL4825" i="2" s="1"/>
  <c r="AH4825" i="2"/>
  <c r="AI4825" i="2"/>
  <c r="AJ4825" i="2"/>
  <c r="AF4826" i="2"/>
  <c r="AK4826" i="2"/>
  <c r="AG4826" i="2"/>
  <c r="AH4826" i="2"/>
  <c r="AI4826" i="2"/>
  <c r="AJ4826" i="2"/>
  <c r="AF4827" i="2"/>
  <c r="AK4827" i="2" s="1"/>
  <c r="AG4827" i="2"/>
  <c r="AH4827" i="2"/>
  <c r="AI4827" i="2"/>
  <c r="AL4827" i="2"/>
  <c r="AJ4827" i="2"/>
  <c r="AF4828" i="2"/>
  <c r="AK4828" i="2" s="1"/>
  <c r="AG4828" i="2"/>
  <c r="AH4828" i="2"/>
  <c r="AI4828" i="2"/>
  <c r="AJ4828" i="2"/>
  <c r="AF4829" i="2"/>
  <c r="AK4829" i="2"/>
  <c r="AG4829" i="2"/>
  <c r="AL4829" i="2" s="1"/>
  <c r="AH4829" i="2"/>
  <c r="AI4829" i="2"/>
  <c r="AJ4829" i="2"/>
  <c r="AF4830" i="2"/>
  <c r="AK4830" i="2"/>
  <c r="AG4830" i="2"/>
  <c r="AH4830" i="2"/>
  <c r="AL4830" i="2" s="1"/>
  <c r="AI4830" i="2"/>
  <c r="AJ4830" i="2"/>
  <c r="AF4831" i="2"/>
  <c r="AK4831" i="2"/>
  <c r="AG4831" i="2"/>
  <c r="AH4831" i="2"/>
  <c r="AI4831" i="2"/>
  <c r="AJ4831" i="2"/>
  <c r="AF4832" i="2"/>
  <c r="AK4832" i="2" s="1"/>
  <c r="AG4832" i="2"/>
  <c r="AH4832" i="2"/>
  <c r="AI4832" i="2"/>
  <c r="AL4832" i="2" s="1"/>
  <c r="AJ4832" i="2"/>
  <c r="AF4833" i="2"/>
  <c r="AK4833" i="2"/>
  <c r="AG4833" i="2"/>
  <c r="AH4833" i="2"/>
  <c r="AI4833" i="2"/>
  <c r="AJ4833" i="2"/>
  <c r="AF4834" i="2"/>
  <c r="AK4834" i="2" s="1"/>
  <c r="AG4834" i="2"/>
  <c r="AH4834" i="2"/>
  <c r="AI4834" i="2"/>
  <c r="AL4834" i="2" s="1"/>
  <c r="AJ4834" i="2"/>
  <c r="AF4835" i="2"/>
  <c r="AK4835" i="2"/>
  <c r="AG4835" i="2"/>
  <c r="AH4835" i="2"/>
  <c r="AI4835" i="2"/>
  <c r="AJ4835" i="2"/>
  <c r="AF4836" i="2"/>
  <c r="AK4836" i="2" s="1"/>
  <c r="AG4836" i="2"/>
  <c r="AH4836" i="2"/>
  <c r="AI4836" i="2"/>
  <c r="AJ4836" i="2"/>
  <c r="AF4837" i="2"/>
  <c r="AK4837" i="2"/>
  <c r="AG4837" i="2"/>
  <c r="AL4837" i="2" s="1"/>
  <c r="AH4837" i="2"/>
  <c r="AI4837" i="2"/>
  <c r="AJ4837" i="2"/>
  <c r="AF4838" i="2"/>
  <c r="AK4838" i="2"/>
  <c r="AG4838" i="2"/>
  <c r="AH4838" i="2"/>
  <c r="AL4838" i="2" s="1"/>
  <c r="AI4838" i="2"/>
  <c r="AJ4838" i="2"/>
  <c r="AF4839" i="2"/>
  <c r="AK4839" i="2" s="1"/>
  <c r="AG4839" i="2"/>
  <c r="AH4839" i="2"/>
  <c r="AL4839" i="2"/>
  <c r="AI4839" i="2"/>
  <c r="AJ4839" i="2"/>
  <c r="AF4840" i="2"/>
  <c r="AK4840" i="2" s="1"/>
  <c r="AL4840" i="2" s="1"/>
  <c r="AG4840" i="2"/>
  <c r="AH4840" i="2"/>
  <c r="AI4840" i="2"/>
  <c r="AJ4840" i="2"/>
  <c r="AF4841" i="2"/>
  <c r="AK4841" i="2" s="1"/>
  <c r="AG4841" i="2"/>
  <c r="AL4841" i="2" s="1"/>
  <c r="AH4841" i="2"/>
  <c r="AI4841" i="2"/>
  <c r="AJ4841" i="2"/>
  <c r="AF4842" i="2"/>
  <c r="AK4842" i="2" s="1"/>
  <c r="AG4842" i="2"/>
  <c r="AH4842" i="2"/>
  <c r="AI4842" i="2"/>
  <c r="AJ4842" i="2"/>
  <c r="AF4843" i="2"/>
  <c r="AK4843" i="2"/>
  <c r="AG4843" i="2"/>
  <c r="AH4843" i="2"/>
  <c r="AI4843" i="2"/>
  <c r="AJ4843" i="2"/>
  <c r="AF4844" i="2"/>
  <c r="AK4844" i="2"/>
  <c r="AG4844" i="2"/>
  <c r="AH4844" i="2"/>
  <c r="AL4844" i="2" s="1"/>
  <c r="AI4844" i="2"/>
  <c r="AJ4844" i="2"/>
  <c r="AF4845" i="2"/>
  <c r="AK4845" i="2" s="1"/>
  <c r="AG4845" i="2"/>
  <c r="AL4845" i="2" s="1"/>
  <c r="AH4845" i="2"/>
  <c r="AI4845" i="2"/>
  <c r="AJ4845" i="2"/>
  <c r="AF4846" i="2"/>
  <c r="AK4846" i="2" s="1"/>
  <c r="AG4846" i="2"/>
  <c r="AH4846" i="2"/>
  <c r="AL4846" i="2" s="1"/>
  <c r="AI4846" i="2"/>
  <c r="AJ4846" i="2"/>
  <c r="AF4847" i="2"/>
  <c r="AK4847" i="2"/>
  <c r="AG4847" i="2"/>
  <c r="AL4847" i="2" s="1"/>
  <c r="AH4847" i="2"/>
  <c r="AI4847" i="2"/>
  <c r="AJ4847" i="2"/>
  <c r="AF4848" i="2"/>
  <c r="AK4848" i="2" s="1"/>
  <c r="AG4848" i="2"/>
  <c r="AH4848" i="2"/>
  <c r="AI4848" i="2"/>
  <c r="AJ4848" i="2"/>
  <c r="AF4849" i="2"/>
  <c r="AK4849" i="2"/>
  <c r="AL4849" i="2" s="1"/>
  <c r="AG4849" i="2"/>
  <c r="AH4849" i="2"/>
  <c r="AI4849" i="2"/>
  <c r="AJ4849" i="2"/>
  <c r="AF4850" i="2"/>
  <c r="AK4850" i="2" s="1"/>
  <c r="AG4850" i="2"/>
  <c r="AH4850" i="2"/>
  <c r="AL4850" i="2" s="1"/>
  <c r="AI4850" i="2"/>
  <c r="AJ4850" i="2"/>
  <c r="AF4851" i="2"/>
  <c r="AK4851" i="2" s="1"/>
  <c r="AG4851" i="2"/>
  <c r="AH4851" i="2"/>
  <c r="AI4851" i="2"/>
  <c r="AJ4851" i="2"/>
  <c r="AF4852" i="2"/>
  <c r="AK4852" i="2" s="1"/>
  <c r="AL4852" i="2" s="1"/>
  <c r="AG4852" i="2"/>
  <c r="AH4852" i="2"/>
  <c r="AI4852" i="2"/>
  <c r="AJ4852" i="2"/>
  <c r="AF4853" i="2"/>
  <c r="AK4853" i="2"/>
  <c r="AG4853" i="2"/>
  <c r="AH4853" i="2"/>
  <c r="AI4853" i="2"/>
  <c r="AJ4853" i="2"/>
  <c r="AF4854" i="2"/>
  <c r="AK4854" i="2"/>
  <c r="AG4854" i="2"/>
  <c r="AL4854" i="2"/>
  <c r="AH4854" i="2"/>
  <c r="AI4854" i="2"/>
  <c r="AJ4854" i="2"/>
  <c r="AF4855" i="2"/>
  <c r="AK4855" i="2"/>
  <c r="AG4855" i="2"/>
  <c r="AH4855" i="2"/>
  <c r="AI4855" i="2"/>
  <c r="AJ4855" i="2"/>
  <c r="AF4856" i="2"/>
  <c r="AK4856" i="2" s="1"/>
  <c r="AG4856" i="2"/>
  <c r="AH4856" i="2"/>
  <c r="AI4856" i="2"/>
  <c r="AJ4856" i="2"/>
  <c r="AF4857" i="2"/>
  <c r="AK4857" i="2" s="1"/>
  <c r="AG4857" i="2"/>
  <c r="AL4857" i="2" s="1"/>
  <c r="AH4857" i="2"/>
  <c r="AI4857" i="2"/>
  <c r="AJ4857" i="2"/>
  <c r="AF4858" i="2"/>
  <c r="AK4858" i="2" s="1"/>
  <c r="AL4858" i="2" s="1"/>
  <c r="AG4858" i="2"/>
  <c r="AH4858" i="2"/>
  <c r="AI4858" i="2"/>
  <c r="AJ4858" i="2"/>
  <c r="AF4859" i="2"/>
  <c r="AK4859" i="2" s="1"/>
  <c r="AG4859" i="2"/>
  <c r="AH4859" i="2"/>
  <c r="AI4859" i="2"/>
  <c r="AL4859" i="2" s="1"/>
  <c r="AJ4859" i="2"/>
  <c r="AF4860" i="2"/>
  <c r="AK4860" i="2" s="1"/>
  <c r="AL4860" i="2" s="1"/>
  <c r="AG4860" i="2"/>
  <c r="AH4860" i="2"/>
  <c r="AI4860" i="2"/>
  <c r="AJ4860" i="2"/>
  <c r="AF4861" i="2"/>
  <c r="AK4861" i="2" s="1"/>
  <c r="AG4861" i="2"/>
  <c r="AL4861" i="2" s="1"/>
  <c r="AH4861" i="2"/>
  <c r="AI4861" i="2"/>
  <c r="AJ4861" i="2"/>
  <c r="AF4862" i="2"/>
  <c r="AK4862" i="2"/>
  <c r="AG4862" i="2"/>
  <c r="AH4862" i="2"/>
  <c r="AL4862" i="2" s="1"/>
  <c r="AI4862" i="2"/>
  <c r="AJ4862" i="2"/>
  <c r="AF4863" i="2"/>
  <c r="AK4863" i="2" s="1"/>
  <c r="AG4863" i="2"/>
  <c r="AH4863" i="2"/>
  <c r="AL4863" i="2"/>
  <c r="AI4863" i="2"/>
  <c r="AJ4863" i="2"/>
  <c r="AF4864" i="2"/>
  <c r="AK4864" i="2" s="1"/>
  <c r="AG4864" i="2"/>
  <c r="AH4864" i="2"/>
  <c r="AI4864" i="2"/>
  <c r="AJ4864" i="2"/>
  <c r="AF4865" i="2"/>
  <c r="AK4865" i="2"/>
  <c r="AL4865" i="2" s="1"/>
  <c r="AG4865" i="2"/>
  <c r="AH4865" i="2"/>
  <c r="AI4865" i="2"/>
  <c r="AJ4865" i="2"/>
  <c r="AF4866" i="2"/>
  <c r="AK4866" i="2" s="1"/>
  <c r="AG4866" i="2"/>
  <c r="AL4866" i="2" s="1"/>
  <c r="AH4866" i="2"/>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c r="AG4870" i="2"/>
  <c r="AH4870" i="2"/>
  <c r="AI4870" i="2"/>
  <c r="AJ4870" i="2"/>
  <c r="AL4870" i="2" s="1"/>
  <c r="AF4871" i="2"/>
  <c r="AK4871" i="2" s="1"/>
  <c r="AG4871" i="2"/>
  <c r="AH4871" i="2"/>
  <c r="AI4871" i="2"/>
  <c r="AJ4871" i="2"/>
  <c r="AF4872" i="2"/>
  <c r="AK4872" i="2"/>
  <c r="AG4872" i="2"/>
  <c r="AH4872" i="2"/>
  <c r="AI4872" i="2"/>
  <c r="AL4872" i="2" s="1"/>
  <c r="AJ4872" i="2"/>
  <c r="AF4873" i="2"/>
  <c r="AK4873" i="2"/>
  <c r="AG4873" i="2"/>
  <c r="AH4873" i="2"/>
  <c r="AL4873" i="2" s="1"/>
  <c r="AI4873" i="2"/>
  <c r="AJ4873" i="2"/>
  <c r="AF4874" i="2"/>
  <c r="AK4874" i="2" s="1"/>
  <c r="AL4874" i="2" s="1"/>
  <c r="AG4874" i="2"/>
  <c r="AH4874" i="2"/>
  <c r="AI4874" i="2"/>
  <c r="AJ4874" i="2"/>
  <c r="AF4875" i="2"/>
  <c r="AK4875" i="2"/>
  <c r="AG4875" i="2"/>
  <c r="AH4875" i="2"/>
  <c r="AI4875" i="2"/>
  <c r="AJ4875" i="2"/>
  <c r="AF4876" i="2"/>
  <c r="AK4876" i="2"/>
  <c r="AG4876" i="2"/>
  <c r="AL4876" i="2"/>
  <c r="AH4876" i="2"/>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s="1"/>
  <c r="AG4882" i="2"/>
  <c r="AH4882" i="2"/>
  <c r="AI4882" i="2"/>
  <c r="AJ4882" i="2"/>
  <c r="AF4883" i="2"/>
  <c r="AK4883" i="2"/>
  <c r="AG4883" i="2"/>
  <c r="AH4883" i="2"/>
  <c r="AI4883" i="2"/>
  <c r="AJ4883" i="2"/>
  <c r="AL4883" i="2" s="1"/>
  <c r="AF4884" i="2"/>
  <c r="AK4884" i="2" s="1"/>
  <c r="AG4884" i="2"/>
  <c r="AH4884" i="2"/>
  <c r="AI4884" i="2"/>
  <c r="AJ4884" i="2"/>
  <c r="AF4885" i="2"/>
  <c r="AK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s="1"/>
  <c r="AG4888" i="2"/>
  <c r="AH4888" i="2"/>
  <c r="AL4888" i="2" s="1"/>
  <c r="AI4888" i="2"/>
  <c r="AJ4888" i="2"/>
  <c r="AF4889" i="2"/>
  <c r="AK4889" i="2"/>
  <c r="AG4889" i="2"/>
  <c r="AH4889" i="2"/>
  <c r="AI4889" i="2"/>
  <c r="AJ4889" i="2"/>
  <c r="AL4889" i="2" s="1"/>
  <c r="AF4890" i="2"/>
  <c r="AK4890" i="2" s="1"/>
  <c r="AG4890" i="2"/>
  <c r="AH4890" i="2"/>
  <c r="AI4890" i="2"/>
  <c r="AJ4890" i="2"/>
  <c r="AF4891" i="2"/>
  <c r="AK4891" i="2"/>
  <c r="AG4891" i="2"/>
  <c r="AH4891" i="2"/>
  <c r="AL4891" i="2" s="1"/>
  <c r="AI4891" i="2"/>
  <c r="AJ4891" i="2"/>
  <c r="AF4892" i="2"/>
  <c r="AK4892" i="2"/>
  <c r="AG4892" i="2"/>
  <c r="AH4892" i="2"/>
  <c r="AI4892" i="2"/>
  <c r="AJ4892" i="2"/>
  <c r="AL4892" i="2" s="1"/>
  <c r="AF4893" i="2"/>
  <c r="AK4893" i="2" s="1"/>
  <c r="AG4893" i="2"/>
  <c r="AH4893" i="2"/>
  <c r="AL4893" i="2" s="1"/>
  <c r="AI4893" i="2"/>
  <c r="AJ4893" i="2"/>
  <c r="AF4894" i="2"/>
  <c r="AK4894" i="2"/>
  <c r="AL4894" i="2" s="1"/>
  <c r="AG4894" i="2"/>
  <c r="AH4894" i="2"/>
  <c r="AI4894" i="2"/>
  <c r="AJ4894" i="2"/>
  <c r="AF4895" i="2"/>
  <c r="AK4895" i="2" s="1"/>
  <c r="AG4895" i="2"/>
  <c r="AH4895" i="2"/>
  <c r="AI4895" i="2"/>
  <c r="AJ4895" i="2"/>
  <c r="AF4896" i="2"/>
  <c r="AK4896" i="2"/>
  <c r="AG4896" i="2"/>
  <c r="AH4896" i="2"/>
  <c r="AI4896" i="2"/>
  <c r="AJ4896" i="2"/>
  <c r="AF4897" i="2"/>
  <c r="AK4897" i="2"/>
  <c r="AG4897" i="2"/>
  <c r="AH4897" i="2"/>
  <c r="AL4897" i="2" s="1"/>
  <c r="AI4897" i="2"/>
  <c r="AJ4897" i="2"/>
  <c r="AF4898" i="2"/>
  <c r="AK4898" i="2" s="1"/>
  <c r="AG4898" i="2"/>
  <c r="AL4898" i="2" s="1"/>
  <c r="AH4898" i="2"/>
  <c r="AI4898" i="2"/>
  <c r="AJ4898" i="2"/>
  <c r="AF4899" i="2"/>
  <c r="AK4899" i="2"/>
  <c r="AG4899" i="2"/>
  <c r="AH4899" i="2"/>
  <c r="AL4899" i="2" s="1"/>
  <c r="AI4899" i="2"/>
  <c r="AJ4899" i="2"/>
  <c r="AF4900" i="2"/>
  <c r="AK4900" i="2"/>
  <c r="AG4900" i="2"/>
  <c r="AH4900" i="2"/>
  <c r="AI4900" i="2"/>
  <c r="AL4900" i="2" s="1"/>
  <c r="AJ4900" i="2"/>
  <c r="AF4901" i="2"/>
  <c r="AK4901" i="2"/>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L4904" i="2" s="1"/>
  <c r="AF4905" i="2"/>
  <c r="AK4905" i="2"/>
  <c r="AG4905" i="2"/>
  <c r="AH4905" i="2"/>
  <c r="AI4905" i="2"/>
  <c r="AJ4905" i="2"/>
  <c r="AF4906" i="2"/>
  <c r="AK4906" i="2"/>
  <c r="AL4906" i="2" s="1"/>
  <c r="AG4906" i="2"/>
  <c r="AH4906" i="2"/>
  <c r="AI4906" i="2"/>
  <c r="AJ4906" i="2"/>
  <c r="AF4907" i="2"/>
  <c r="AK4907" i="2"/>
  <c r="AG4907" i="2"/>
  <c r="AH4907" i="2"/>
  <c r="AI4907" i="2"/>
  <c r="AJ4907" i="2"/>
  <c r="AF4908" i="2"/>
  <c r="AK4908" i="2"/>
  <c r="AG4908" i="2"/>
  <c r="AH4908" i="2"/>
  <c r="AI4908" i="2"/>
  <c r="AJ4908" i="2"/>
  <c r="AF4909" i="2"/>
  <c r="AK4909" i="2" s="1"/>
  <c r="AG4909" i="2"/>
  <c r="AH4909" i="2"/>
  <c r="AI4909" i="2"/>
  <c r="AJ4909" i="2"/>
  <c r="AF4910" i="2"/>
  <c r="AK4910" i="2"/>
  <c r="AL4910" i="2" s="1"/>
  <c r="AG4910" i="2"/>
  <c r="AH4910" i="2"/>
  <c r="AI4910" i="2"/>
  <c r="AJ4910" i="2"/>
  <c r="AF4911" i="2"/>
  <c r="AK4911" i="2"/>
  <c r="AG4911" i="2"/>
  <c r="AH4911" i="2"/>
  <c r="AL4911" i="2" s="1"/>
  <c r="AI4911" i="2"/>
  <c r="AJ4911" i="2"/>
  <c r="AF4912" i="2"/>
  <c r="AK4912" i="2" s="1"/>
  <c r="AG4912" i="2"/>
  <c r="AH4912" i="2"/>
  <c r="AI4912" i="2"/>
  <c r="AJ4912" i="2"/>
  <c r="AF4913" i="2"/>
  <c r="AK4913" i="2" s="1"/>
  <c r="AG4913" i="2"/>
  <c r="AH4913" i="2"/>
  <c r="AI4913" i="2"/>
  <c r="AJ4913" i="2"/>
  <c r="AF4914" i="2"/>
  <c r="AK4914" i="2"/>
  <c r="AG4914" i="2"/>
  <c r="AL4914" i="2" s="1"/>
  <c r="AH4914" i="2"/>
  <c r="AI4914" i="2"/>
  <c r="AJ4914" i="2"/>
  <c r="AF4915" i="2"/>
  <c r="AK4915" i="2"/>
  <c r="AG4915" i="2"/>
  <c r="AH4915" i="2"/>
  <c r="AL4915" i="2"/>
  <c r="AI4915" i="2"/>
  <c r="AJ4915" i="2"/>
  <c r="AF4916" i="2"/>
  <c r="AK4916" i="2" s="1"/>
  <c r="AL4916" i="2" s="1"/>
  <c r="AG4916" i="2"/>
  <c r="AH4916" i="2"/>
  <c r="AI4916" i="2"/>
  <c r="AJ4916" i="2"/>
  <c r="AF4917" i="2"/>
  <c r="AK4917" i="2"/>
  <c r="AG4917" i="2"/>
  <c r="AH4917" i="2"/>
  <c r="AI4917" i="2"/>
  <c r="AJ4917" i="2"/>
  <c r="AF4918" i="2"/>
  <c r="AK4918" i="2"/>
  <c r="AG4918" i="2"/>
  <c r="AH4918" i="2"/>
  <c r="AL4918" i="2" s="1"/>
  <c r="AI4918" i="2"/>
  <c r="AJ4918" i="2"/>
  <c r="AF4919" i="2"/>
  <c r="AK4919" i="2"/>
  <c r="AG4919" i="2"/>
  <c r="AL4919" i="2" s="1"/>
  <c r="AH4919" i="2"/>
  <c r="AI4919" i="2"/>
  <c r="AJ4919" i="2"/>
  <c r="AF4920" i="2"/>
  <c r="AK4920" i="2" s="1"/>
  <c r="AG4920" i="2"/>
  <c r="AH4920" i="2"/>
  <c r="AI4920" i="2"/>
  <c r="AJ4920" i="2"/>
  <c r="AF4921" i="2"/>
  <c r="AK4921" i="2"/>
  <c r="AG4921" i="2"/>
  <c r="AH4921" i="2"/>
  <c r="AI4921" i="2"/>
  <c r="AJ4921" i="2"/>
  <c r="AF4922" i="2"/>
  <c r="AK4922" i="2"/>
  <c r="AG4922" i="2"/>
  <c r="AH4922" i="2"/>
  <c r="AL4922" i="2" s="1"/>
  <c r="AI4922" i="2"/>
  <c r="AJ4922" i="2"/>
  <c r="AF4923" i="2"/>
  <c r="AK4923" i="2" s="1"/>
  <c r="AG4923" i="2"/>
  <c r="AH4923" i="2"/>
  <c r="AI4923" i="2"/>
  <c r="AJ4923" i="2"/>
  <c r="AF4924" i="2"/>
  <c r="AK4924" i="2"/>
  <c r="AG4924" i="2"/>
  <c r="AH4924" i="2"/>
  <c r="AL4924" i="2"/>
  <c r="AI4924" i="2"/>
  <c r="AJ4924" i="2"/>
  <c r="AF4925" i="2"/>
  <c r="AK4925" i="2" s="1"/>
  <c r="AG4925" i="2"/>
  <c r="AH4925" i="2"/>
  <c r="AI4925" i="2"/>
  <c r="AJ4925" i="2"/>
  <c r="AF4926" i="2"/>
  <c r="AK4926" i="2" s="1"/>
  <c r="AL4926" i="2" s="1"/>
  <c r="AG4926" i="2"/>
  <c r="AH4926" i="2"/>
  <c r="AI4926" i="2"/>
  <c r="AJ4926" i="2"/>
  <c r="AF4927" i="2"/>
  <c r="AK4927" i="2" s="1"/>
  <c r="AL4927" i="2" s="1"/>
  <c r="AG4927" i="2"/>
  <c r="AH4927" i="2"/>
  <c r="AI4927" i="2"/>
  <c r="AJ4927" i="2"/>
  <c r="AF4928" i="2"/>
  <c r="AK4928" i="2"/>
  <c r="AG4928" i="2"/>
  <c r="AL4928" i="2" s="1"/>
  <c r="AH4928" i="2"/>
  <c r="AI4928" i="2"/>
  <c r="AJ4928" i="2"/>
  <c r="AF4929" i="2"/>
  <c r="AK4929" i="2"/>
  <c r="AG4929" i="2"/>
  <c r="AH4929" i="2"/>
  <c r="AI4929" i="2"/>
  <c r="AL4929" i="2" s="1"/>
  <c r="AJ4929" i="2"/>
  <c r="AF4930" i="2"/>
  <c r="AK4930" i="2" s="1"/>
  <c r="AG4930" i="2"/>
  <c r="AL4930" i="2" s="1"/>
  <c r="AH4930" i="2"/>
  <c r="AI4930" i="2"/>
  <c r="AJ4930" i="2"/>
  <c r="AF4931" i="2"/>
  <c r="AK4931" i="2" s="1"/>
  <c r="AL4931" i="2" s="1"/>
  <c r="AG4931" i="2"/>
  <c r="AH4931" i="2"/>
  <c r="AI4931" i="2"/>
  <c r="AJ4931" i="2"/>
  <c r="AF4932" i="2"/>
  <c r="AK4932" i="2" s="1"/>
  <c r="AG4932" i="2"/>
  <c r="AH4932" i="2"/>
  <c r="AI4932" i="2"/>
  <c r="AJ4932" i="2"/>
  <c r="AF4933" i="2"/>
  <c r="AK4933" i="2"/>
  <c r="AG4933" i="2"/>
  <c r="AH4933" i="2"/>
  <c r="AL4933" i="2" s="1"/>
  <c r="AI4933" i="2"/>
  <c r="AJ4933" i="2"/>
  <c r="AF4934" i="2"/>
  <c r="AK4934" i="2"/>
  <c r="AG4934" i="2"/>
  <c r="AH4934" i="2"/>
  <c r="AI4934" i="2"/>
  <c r="AL4934" i="2" s="1"/>
  <c r="AJ4934" i="2"/>
  <c r="AF4935" i="2"/>
  <c r="AK4935" i="2"/>
  <c r="AG4935" i="2"/>
  <c r="AH4935" i="2"/>
  <c r="AI4935" i="2"/>
  <c r="AJ4935" i="2"/>
  <c r="AF4936" i="2"/>
  <c r="AK4936" i="2" s="1"/>
  <c r="AL4936" i="2" s="1"/>
  <c r="AG4936" i="2"/>
  <c r="AH4936" i="2"/>
  <c r="AI4936" i="2"/>
  <c r="AJ4936" i="2"/>
  <c r="AF4937" i="2"/>
  <c r="AK4937" i="2" s="1"/>
  <c r="AG4937" i="2"/>
  <c r="AH4937" i="2"/>
  <c r="AI4937" i="2"/>
  <c r="AJ4937" i="2"/>
  <c r="AF4938" i="2"/>
  <c r="AK4938" i="2"/>
  <c r="AG4938" i="2"/>
  <c r="AH4938" i="2"/>
  <c r="AI4938" i="2"/>
  <c r="AL4938" i="2" s="1"/>
  <c r="AJ4938" i="2"/>
  <c r="AF4939" i="2"/>
  <c r="AK4939" i="2"/>
  <c r="AG4939" i="2"/>
  <c r="AH4939" i="2"/>
  <c r="AI4939" i="2"/>
  <c r="AJ4939" i="2"/>
  <c r="AF4940" i="2"/>
  <c r="AK4940" i="2" s="1"/>
  <c r="AG4940" i="2"/>
  <c r="AH4940" i="2"/>
  <c r="AL4940" i="2" s="1"/>
  <c r="AI4940" i="2"/>
  <c r="AJ4940" i="2"/>
  <c r="AF4941" i="2"/>
  <c r="AK4941" i="2"/>
  <c r="AG4941" i="2"/>
  <c r="AH4941" i="2"/>
  <c r="AI4941" i="2"/>
  <c r="AJ4941" i="2"/>
  <c r="AF4942" i="2"/>
  <c r="AK4942" i="2"/>
  <c r="AG4942" i="2"/>
  <c r="AL4942" i="2"/>
  <c r="AH4942" i="2"/>
  <c r="AI4942" i="2"/>
  <c r="AJ4942" i="2"/>
  <c r="AF4943" i="2"/>
  <c r="AK4943" i="2"/>
  <c r="AG4943" i="2"/>
  <c r="AH4943" i="2"/>
  <c r="AI4943" i="2"/>
  <c r="AL4943" i="2" s="1"/>
  <c r="AJ4943" i="2"/>
  <c r="AF4944" i="2"/>
  <c r="AK4944" i="2"/>
  <c r="AG4944" i="2"/>
  <c r="AH4944" i="2"/>
  <c r="AI4944" i="2"/>
  <c r="AJ4944" i="2"/>
  <c r="AF4945" i="2"/>
  <c r="AK4945" i="2" s="1"/>
  <c r="AG4945" i="2"/>
  <c r="AL4945" i="2" s="1"/>
  <c r="AH4945" i="2"/>
  <c r="AI4945" i="2"/>
  <c r="AJ4945" i="2"/>
  <c r="AF4946" i="2"/>
  <c r="AK4946" i="2" s="1"/>
  <c r="AL4946" i="2" s="1"/>
  <c r="AG4946" i="2"/>
  <c r="AH4946" i="2"/>
  <c r="AI4946" i="2"/>
  <c r="AJ4946" i="2"/>
  <c r="AF4947" i="2"/>
  <c r="AK4947" i="2"/>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J4950" i="2"/>
  <c r="AL4950" i="2" s="1"/>
  <c r="AF4951" i="2"/>
  <c r="AK4951" i="2" s="1"/>
  <c r="AG4951" i="2"/>
  <c r="AL4951" i="2" s="1"/>
  <c r="AH4951" i="2"/>
  <c r="AI4951" i="2"/>
  <c r="AJ4951" i="2"/>
  <c r="AF4952" i="2"/>
  <c r="AG4952" i="2"/>
  <c r="AH4952" i="2"/>
  <c r="AI4952" i="2"/>
  <c r="AJ4952" i="2"/>
  <c r="AL4952" i="2" s="1"/>
  <c r="AK4952" i="2"/>
  <c r="AF4953" i="2"/>
  <c r="AK4953" i="2"/>
  <c r="AG4953" i="2"/>
  <c r="AH4953" i="2"/>
  <c r="AI4953" i="2"/>
  <c r="AJ4953" i="2"/>
  <c r="AF4954" i="2"/>
  <c r="AK4954" i="2" s="1"/>
  <c r="AL4954" i="2" s="1"/>
  <c r="AG4954" i="2"/>
  <c r="AH4954" i="2"/>
  <c r="AI4954" i="2"/>
  <c r="AJ4954" i="2"/>
  <c r="AF4955" i="2"/>
  <c r="AK4955" i="2"/>
  <c r="AL4955" i="2" s="1"/>
  <c r="AG4955" i="2"/>
  <c r="AH4955" i="2"/>
  <c r="AI4955" i="2"/>
  <c r="AJ4955" i="2"/>
  <c r="AF4956" i="2"/>
  <c r="AK4956" i="2"/>
  <c r="AG4956" i="2"/>
  <c r="AH4956" i="2"/>
  <c r="AL4956" i="2" s="1"/>
  <c r="AI4956" i="2"/>
  <c r="AJ4956" i="2"/>
  <c r="AF4957" i="2"/>
  <c r="AK4957" i="2" s="1"/>
  <c r="AG4957" i="2"/>
  <c r="AH4957" i="2"/>
  <c r="AI4957" i="2"/>
  <c r="AJ4957" i="2"/>
  <c r="AF4958" i="2"/>
  <c r="AK4958" i="2"/>
  <c r="AG4958" i="2"/>
  <c r="AH4958" i="2"/>
  <c r="AI4958" i="2"/>
  <c r="AJ4958" i="2"/>
  <c r="AF4959" i="2"/>
  <c r="AK4959" i="2" s="1"/>
  <c r="AL4959" i="2" s="1"/>
  <c r="AG4959" i="2"/>
  <c r="AH4959" i="2"/>
  <c r="AI4959" i="2"/>
  <c r="AJ4959" i="2"/>
  <c r="AF4960" i="2"/>
  <c r="AK4960" i="2" s="1"/>
  <c r="AG4960" i="2"/>
  <c r="AH4960" i="2"/>
  <c r="AL4960" i="2" s="1"/>
  <c r="AI4960" i="2"/>
  <c r="AJ4960" i="2"/>
  <c r="AF4961" i="2"/>
  <c r="AK4961" i="2" s="1"/>
  <c r="AG4961" i="2"/>
  <c r="AH4961" i="2"/>
  <c r="AI4961" i="2"/>
  <c r="AJ4961" i="2"/>
  <c r="AL4961" i="2" s="1"/>
  <c r="AF4962" i="2"/>
  <c r="AK4962" i="2" s="1"/>
  <c r="AL4962" i="2" s="1"/>
  <c r="AG4962" i="2"/>
  <c r="AH4962" i="2"/>
  <c r="AI4962" i="2"/>
  <c r="AJ4962" i="2"/>
  <c r="AF4963" i="2"/>
  <c r="AK4963" i="2" s="1"/>
  <c r="AG4963" i="2"/>
  <c r="AH4963" i="2"/>
  <c r="AL4963" i="2" s="1"/>
  <c r="AI4963" i="2"/>
  <c r="AJ4963" i="2"/>
  <c r="AF4964" i="2"/>
  <c r="AK4964" i="2"/>
  <c r="AL4964" i="2" s="1"/>
  <c r="AG4964" i="2"/>
  <c r="AH4964" i="2"/>
  <c r="AI4964" i="2"/>
  <c r="AJ4964" i="2"/>
  <c r="AF4965" i="2"/>
  <c r="AK4965" i="2" s="1"/>
  <c r="AG4965" i="2"/>
  <c r="AL4965" i="2" s="1"/>
  <c r="AH4965" i="2"/>
  <c r="AI4965" i="2"/>
  <c r="AJ4965" i="2"/>
  <c r="AF4966" i="2"/>
  <c r="AK4966" i="2" s="1"/>
  <c r="AG4966" i="2"/>
  <c r="AH4966" i="2"/>
  <c r="AI4966" i="2"/>
  <c r="AJ4966" i="2"/>
  <c r="AF4967" i="2"/>
  <c r="AK4967" i="2" s="1"/>
  <c r="AG4967" i="2"/>
  <c r="AH4967" i="2"/>
  <c r="AI4967" i="2"/>
  <c r="AJ4967" i="2"/>
  <c r="AF4968" i="2"/>
  <c r="AK4968" i="2" s="1"/>
  <c r="AG4968" i="2"/>
  <c r="AH4968" i="2"/>
  <c r="AI4968" i="2"/>
  <c r="AJ4968" i="2"/>
  <c r="AF4969" i="2"/>
  <c r="AK4969" i="2"/>
  <c r="AL4969" i="2" s="1"/>
  <c r="AG4969" i="2"/>
  <c r="AH4969" i="2"/>
  <c r="AI4969" i="2"/>
  <c r="AJ4969" i="2"/>
  <c r="AF4970" i="2"/>
  <c r="AK4970" i="2"/>
  <c r="AG4970" i="2"/>
  <c r="AL4970" i="2"/>
  <c r="AH4970" i="2"/>
  <c r="AI4970" i="2"/>
  <c r="AJ4970" i="2"/>
  <c r="AF4971" i="2"/>
  <c r="AK4971" i="2" s="1"/>
  <c r="AG4971" i="2"/>
  <c r="AL4971" i="2" s="1"/>
  <c r="AH4971" i="2"/>
  <c r="AI4971" i="2"/>
  <c r="AJ4971" i="2"/>
  <c r="AF4972" i="2"/>
  <c r="AK4972" i="2"/>
  <c r="AG4972" i="2"/>
  <c r="AH4972" i="2"/>
  <c r="AI4972" i="2"/>
  <c r="AJ4972" i="2"/>
  <c r="AF4973" i="2"/>
  <c r="AK4973" i="2" s="1"/>
  <c r="AL4973" i="2" s="1"/>
  <c r="AG4973" i="2"/>
  <c r="AH4973" i="2"/>
  <c r="AI4973" i="2"/>
  <c r="AJ4973" i="2"/>
  <c r="AF4974" i="2"/>
  <c r="AK4974" i="2" s="1"/>
  <c r="AG4974" i="2"/>
  <c r="AL4974" i="2" s="1"/>
  <c r="AH4974" i="2"/>
  <c r="AI4974" i="2"/>
  <c r="AJ4974" i="2"/>
  <c r="AF4975" i="2"/>
  <c r="AK4975" i="2"/>
  <c r="AG4975" i="2"/>
  <c r="AL4975" i="2" s="1"/>
  <c r="AH4975" i="2"/>
  <c r="AI4975" i="2"/>
  <c r="AJ4975" i="2"/>
  <c r="AF4976" i="2"/>
  <c r="AK4976" i="2"/>
  <c r="AG4976" i="2"/>
  <c r="AH4976" i="2"/>
  <c r="AI4976" i="2"/>
  <c r="AJ4976" i="2"/>
  <c r="AL4976" i="2" s="1"/>
  <c r="AF4977" i="2"/>
  <c r="AK4977" i="2" s="1"/>
  <c r="AG4977" i="2"/>
  <c r="AH4977" i="2"/>
  <c r="AI4977" i="2"/>
  <c r="AJ4977" i="2"/>
  <c r="AF4978" i="2"/>
  <c r="AK4978" i="2" s="1"/>
  <c r="AG4978" i="2"/>
  <c r="AH4978" i="2"/>
  <c r="AI4978" i="2"/>
  <c r="AJ4978" i="2"/>
  <c r="AF4979" i="2"/>
  <c r="AK4979" i="2"/>
  <c r="AL4979" i="2" s="1"/>
  <c r="AG4979" i="2"/>
  <c r="AH4979" i="2"/>
  <c r="AI4979" i="2"/>
  <c r="AJ4979" i="2"/>
  <c r="AF4980" i="2"/>
  <c r="AK4980" i="2"/>
  <c r="AG4980" i="2"/>
  <c r="AH4980" i="2"/>
  <c r="AL4980" i="2" s="1"/>
  <c r="AI4980" i="2"/>
  <c r="AJ4980" i="2"/>
  <c r="AF4981" i="2"/>
  <c r="AK4981" i="2"/>
  <c r="AG4981" i="2"/>
  <c r="AH4981" i="2"/>
  <c r="AI4981" i="2"/>
  <c r="AJ4981" i="2"/>
  <c r="AL4981" i="2" s="1"/>
  <c r="AF4982" i="2"/>
  <c r="AK4982" i="2" s="1"/>
  <c r="AG4982" i="2"/>
  <c r="AH4982" i="2"/>
  <c r="AI4982" i="2"/>
  <c r="AJ4982" i="2"/>
  <c r="AF4983" i="2"/>
  <c r="AK4983" i="2"/>
  <c r="AG4983" i="2"/>
  <c r="AL4983" i="2" s="1"/>
  <c r="AH4983" i="2"/>
  <c r="AI4983" i="2"/>
  <c r="AJ4983" i="2"/>
  <c r="AF4984" i="2"/>
  <c r="AK4984" i="2" s="1"/>
  <c r="AG4984" i="2"/>
  <c r="AL4984" i="2" s="1"/>
  <c r="AH4984" i="2"/>
  <c r="AI4984" i="2"/>
  <c r="AJ4984" i="2"/>
  <c r="AF4985" i="2"/>
  <c r="AK4985" i="2"/>
  <c r="AG4985" i="2"/>
  <c r="AH4985" i="2"/>
  <c r="AI4985" i="2"/>
  <c r="AJ4985" i="2"/>
  <c r="AF4986" i="2"/>
  <c r="AK4986" i="2"/>
  <c r="AG4986" i="2"/>
  <c r="AH4986" i="2"/>
  <c r="AI4986" i="2"/>
  <c r="AL4986" i="2"/>
  <c r="AJ4986" i="2"/>
  <c r="AF4987" i="2"/>
  <c r="AK4987" i="2"/>
  <c r="AG4987" i="2"/>
  <c r="AH4987" i="2"/>
  <c r="AI4987" i="2"/>
  <c r="AJ4987" i="2"/>
  <c r="AL4987" i="2"/>
  <c r="AF4988" i="2"/>
  <c r="AK4988" i="2" s="1"/>
  <c r="AG4988" i="2"/>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L4992" i="2" s="1"/>
  <c r="AJ4992" i="2"/>
  <c r="AF4993" i="2"/>
  <c r="AK4993" i="2"/>
  <c r="AG4993" i="2"/>
  <c r="AL4993" i="2" s="1"/>
  <c r="AH4993" i="2"/>
  <c r="AI4993" i="2"/>
  <c r="AJ4993" i="2"/>
  <c r="AF4994" i="2"/>
  <c r="AK4994" i="2" s="1"/>
  <c r="AL4994" i="2" s="1"/>
  <c r="AG4994" i="2"/>
  <c r="AH4994" i="2"/>
  <c r="AI4994" i="2"/>
  <c r="AJ4994" i="2"/>
  <c r="AF4995" i="2"/>
  <c r="AK4995" i="2"/>
  <c r="AL4995" i="2" s="1"/>
  <c r="AG4995" i="2"/>
  <c r="AH4995" i="2"/>
  <c r="AI4995" i="2"/>
  <c r="AJ4995" i="2"/>
  <c r="AF4996" i="2"/>
  <c r="AK4996" i="2" s="1"/>
  <c r="AL4996" i="2" s="1"/>
  <c r="AG4996" i="2"/>
  <c r="AH4996" i="2"/>
  <c r="AI4996" i="2"/>
  <c r="AJ4996" i="2"/>
  <c r="AF4997" i="2"/>
  <c r="AK4997" i="2"/>
  <c r="AG4997" i="2"/>
  <c r="AH4997" i="2"/>
  <c r="AL4997" i="2" s="1"/>
  <c r="AI4997" i="2"/>
  <c r="AJ4997" i="2"/>
  <c r="AF4998" i="2"/>
  <c r="AK4998" i="2"/>
  <c r="AG4998" i="2"/>
  <c r="AH4998" i="2"/>
  <c r="AI4998" i="2"/>
  <c r="AL4998" i="2" s="1"/>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45" i="2"/>
  <c r="AM45" i="2" s="1"/>
  <c r="AL37" i="2"/>
  <c r="AM37" i="2" s="1"/>
  <c r="AL29" i="2"/>
  <c r="AM29" i="2" s="1"/>
  <c r="AL21" i="2"/>
  <c r="AM21"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22" i="2"/>
  <c r="AM22" i="2" s="1"/>
  <c r="AL87" i="2"/>
  <c r="AL79" i="2"/>
  <c r="AL71" i="2"/>
  <c r="AL63" i="2"/>
  <c r="AL55" i="2"/>
  <c r="AM55" i="2" s="1"/>
  <c r="AL47" i="2"/>
  <c r="AM47" i="2" s="1"/>
  <c r="AL39" i="2"/>
  <c r="AM39" i="2" s="1"/>
  <c r="AL31" i="2"/>
  <c r="AM31" i="2" s="1"/>
  <c r="AL23" i="2"/>
  <c r="AM23" i="2" s="1"/>
  <c r="AL89" i="2"/>
  <c r="AL81" i="2"/>
  <c r="AL73" i="2"/>
  <c r="AL65" i="2"/>
  <c r="AL33" i="2"/>
  <c r="AM33" i="2" s="1"/>
  <c r="AL25" i="2"/>
  <c r="AM25" i="2" s="1"/>
  <c r="AL75" i="2"/>
  <c r="AL67" i="2"/>
  <c r="AL35" i="2"/>
  <c r="AM35" i="2" s="1"/>
  <c r="AL27" i="2"/>
  <c r="AM27" i="2" s="1"/>
  <c r="AL17" i="2"/>
  <c r="AM17" i="2" s="1"/>
  <c r="AL19" i="2"/>
  <c r="AM19" i="2" s="1"/>
  <c r="AL15" i="2"/>
  <c r="AM15" i="2" s="1"/>
  <c r="AM14" i="2"/>
  <c r="AL13" i="2"/>
  <c r="AM13" i="2" s="1"/>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34" i="2"/>
  <c r="AM34" i="2" s="1"/>
  <c r="AL5070" i="2"/>
  <c r="AL5130" i="2"/>
  <c r="AL241" i="2"/>
  <c r="AL187" i="2"/>
  <c r="AL160" i="2"/>
  <c r="AL5009" i="2"/>
  <c r="AL5029" i="2"/>
  <c r="AL5123" i="2"/>
  <c r="AL222" i="2"/>
  <c r="AL208" i="2"/>
  <c r="AL174" i="2"/>
  <c r="AL66" i="2"/>
  <c r="AL5005" i="2"/>
  <c r="AL5049" i="2"/>
  <c r="AL5066" i="2"/>
  <c r="AL5132" i="2"/>
  <c r="AL5158" i="2"/>
  <c r="AL5190" i="2"/>
  <c r="AL4759" i="2"/>
  <c r="AL4748" i="2"/>
  <c r="AL4434" i="2"/>
  <c r="AL4720" i="2"/>
  <c r="AL455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455" i="2"/>
  <c r="AL4335"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M42" i="2" s="1"/>
  <c r="AL5013" i="2"/>
  <c r="AL36" i="2"/>
  <c r="AL5198" i="2"/>
  <c r="AL5267" i="2"/>
  <c r="AL221" i="2"/>
  <c r="AL216" i="2"/>
  <c r="AL68" i="2"/>
  <c r="AL64" i="2"/>
  <c r="AL5243" i="2"/>
  <c r="AL173" i="2"/>
  <c r="AL5018" i="2"/>
  <c r="AL5021" i="2"/>
  <c r="AL5223" i="2"/>
  <c r="AL4752" i="2"/>
  <c r="AL4489" i="2"/>
  <c r="AL4324" i="2"/>
  <c r="AL4278" i="2"/>
  <c r="AL4225" i="2"/>
  <c r="AL4141" i="2"/>
  <c r="AL4908" i="2"/>
  <c r="AL4816" i="2"/>
  <c r="AL4813" i="2"/>
  <c r="AL4599" i="2"/>
  <c r="AL4459" i="2"/>
  <c r="AL4433" i="2"/>
  <c r="AL4303" i="2"/>
  <c r="AL3843" i="2"/>
  <c r="AL4824" i="2"/>
  <c r="AL4654" i="2"/>
  <c r="AL4528" i="2"/>
  <c r="AL4501" i="2"/>
  <c r="AL4493" i="2"/>
  <c r="AL4466" i="2"/>
  <c r="AL4949" i="2"/>
  <c r="AL4738" i="2"/>
  <c r="AL4734" i="2"/>
  <c r="AL4724" i="2"/>
  <c r="AL4644" i="2"/>
  <c r="AL4581" i="2"/>
  <c r="AL4494" i="2"/>
  <c r="AL4478" i="2"/>
  <c r="AL4454" i="2"/>
  <c r="AL4431" i="2"/>
  <c r="AL4345" i="2"/>
  <c r="AL4338" i="2"/>
  <c r="AL4007" i="2"/>
  <c r="AL3986" i="2"/>
  <c r="AL4804" i="2"/>
  <c r="AL4798" i="2"/>
  <c r="AL4736" i="2"/>
  <c r="AL4684" i="2"/>
  <c r="AL4633" i="2"/>
  <c r="AL4549" i="2"/>
  <c r="AL4439" i="2"/>
  <c r="AL4365" i="2"/>
  <c r="AL4330" i="2"/>
  <c r="AL4262" i="2"/>
  <c r="AL4166" i="2"/>
  <c r="AL4142" i="2"/>
  <c r="AL3824" i="2"/>
  <c r="AL3659" i="2"/>
  <c r="AL4386" i="2"/>
  <c r="AL4359"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482" i="2"/>
  <c r="AL4398" i="2"/>
  <c r="AL4388" i="2"/>
  <c r="AL4920" i="2"/>
  <c r="AL4917" i="2"/>
  <c r="AL4716" i="2"/>
  <c r="AL4601" i="2"/>
  <c r="AL4396" i="2"/>
  <c r="AL4807" i="2"/>
  <c r="AL4668" i="2"/>
  <c r="AL4591" i="2"/>
  <c r="AL4332" i="2"/>
  <c r="AL4750" i="2"/>
  <c r="AL4617" i="2"/>
  <c r="AL4518" i="2"/>
  <c r="AL4835" i="2"/>
  <c r="AL4629" i="2"/>
  <c r="AL4533" i="2"/>
  <c r="AL4487" i="2"/>
  <c r="AL4453" i="2"/>
  <c r="AL4334" i="2"/>
  <c r="AL4233"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7" i="2"/>
  <c r="AM6" i="2"/>
  <c r="AL10" i="2"/>
  <c r="AM10" i="2" s="1"/>
  <c r="AL8" i="2"/>
  <c r="AM8" i="2" s="1"/>
  <c r="AL7" i="2"/>
  <c r="AL4797" i="2"/>
  <c r="AL4649" i="2"/>
  <c r="AL4890" i="2"/>
  <c r="AL4664" i="2"/>
  <c r="AL4579" i="2"/>
  <c r="AL4853" i="2"/>
  <c r="AL4785" i="2"/>
  <c r="AL4698" i="2"/>
  <c r="AL4895" i="2"/>
  <c r="AL4780" i="2"/>
  <c r="AL4545" i="2"/>
  <c r="AL4385" i="2"/>
  <c r="AL4418" i="2"/>
  <c r="AL4298" i="2"/>
  <c r="AL4143" i="2"/>
  <c r="AL4083" i="2"/>
  <c r="AL4035" i="2"/>
  <c r="AL3999" i="2"/>
  <c r="AL3979" i="2"/>
  <c r="AL3969" i="2"/>
  <c r="AL3798" i="2"/>
  <c r="AL3744" i="2"/>
  <c r="AL3546" i="2"/>
  <c r="AL3523"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778" i="2"/>
  <c r="AL4856" i="2"/>
  <c r="AL4771" i="2"/>
  <c r="AL4733" i="2"/>
  <c r="AL4719" i="2"/>
  <c r="AL4556" i="2"/>
  <c r="AL4537" i="2"/>
  <c r="AL4515" i="2"/>
  <c r="AL4985" i="2"/>
  <c r="AL4958" i="2"/>
  <c r="AL4948" i="2"/>
  <c r="AL4896" i="2"/>
  <c r="AL4871" i="2"/>
  <c r="AL4836" i="2"/>
  <c r="AL4821" i="2"/>
  <c r="AL4799" i="2"/>
  <c r="AL4772" i="2"/>
  <c r="AL4730" i="2"/>
  <c r="AL4647" i="2"/>
  <c r="AL4588" i="2"/>
  <c r="AL4944" i="2"/>
  <c r="AL4923" i="2"/>
  <c r="AL4913" i="2"/>
  <c r="AL4843" i="2"/>
  <c r="AL4811" i="2"/>
  <c r="AL4806" i="2"/>
  <c r="AL4789" i="2"/>
  <c r="AL4766" i="2"/>
  <c r="AL4758" i="2"/>
  <c r="AL4751" i="2"/>
  <c r="AL4506" i="2"/>
  <c r="AL4452" i="2"/>
  <c r="AL4884" i="2"/>
  <c r="AL4794" i="2"/>
  <c r="AL4686" i="2"/>
  <c r="AL4580" i="2"/>
  <c r="AL4574" i="2"/>
  <c r="AL4548" i="2"/>
  <c r="AL4522" i="2"/>
  <c r="AL4449" i="2"/>
  <c r="AL4953" i="2"/>
  <c r="AL4935" i="2"/>
  <c r="AL4925" i="2"/>
  <c r="AL4921" i="2"/>
  <c r="AL4905" i="2"/>
  <c r="AL4848" i="2"/>
  <c r="AL4819" i="2"/>
  <c r="AL4689" i="2"/>
  <c r="AL4659" i="2"/>
  <c r="AL4645" i="2"/>
  <c r="AL4623" i="2"/>
  <c r="AL4619" i="2"/>
  <c r="AL4586" i="2"/>
  <c r="AL4577" i="2"/>
  <c r="AL4555" i="2"/>
  <c r="AL4576" i="2"/>
  <c r="AL4572" i="2"/>
  <c r="AL4554" i="2"/>
  <c r="AL4529" i="2"/>
  <c r="AL4525" i="2"/>
  <c r="AL4412" i="2"/>
  <c r="AL4404" i="2"/>
  <c r="AL4394" i="2"/>
  <c r="AL4375" i="2"/>
  <c r="AL4254" i="2"/>
  <c r="AL4543" i="2"/>
  <c r="AL4526" i="2"/>
  <c r="AL4370" i="2"/>
  <c r="AL4565" i="2"/>
  <c r="AL4500" i="2"/>
  <c r="AL4446" i="2"/>
  <c r="AL4419" i="2"/>
  <c r="AL4382" i="2"/>
  <c r="AL4367" i="2"/>
  <c r="AL4362" i="2"/>
  <c r="AL4236" i="2"/>
  <c r="AL4125"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1" i="2" l="1"/>
  <c r="AM61" i="2" s="1"/>
  <c r="AL60" i="2"/>
  <c r="AL59" i="2"/>
  <c r="AL56" i="2"/>
  <c r="AL57" i="2"/>
  <c r="AL54" i="2"/>
  <c r="AM54" i="2" s="1"/>
  <c r="AL51" i="2"/>
  <c r="AL50" i="2"/>
  <c r="AM50" i="2" s="1"/>
  <c r="AL49" i="2"/>
  <c r="AM49" i="2" s="1"/>
  <c r="AL44" i="2"/>
  <c r="AM44" i="2" s="1"/>
  <c r="AL41" i="2"/>
  <c r="AM41" i="2" s="1"/>
  <c r="AL40" i="2"/>
  <c r="AM40" i="2" s="1"/>
  <c r="AL38" i="2"/>
  <c r="AM38" i="2" s="1"/>
  <c r="AL32" i="2"/>
  <c r="AM32" i="2" s="1"/>
  <c r="AL30" i="2"/>
  <c r="AM30" i="2" s="1"/>
  <c r="AL26" i="2"/>
  <c r="AM26" i="2" s="1"/>
  <c r="AL24" i="2"/>
  <c r="AM24" i="2" s="1"/>
  <c r="AL20" i="2"/>
  <c r="AM20" i="2" s="1"/>
  <c r="AL18" i="2"/>
  <c r="AM18" i="2" s="1"/>
  <c r="AL16" i="2"/>
  <c r="AM16" i="2" s="1"/>
  <c r="AL14" i="2"/>
  <c r="AL12" i="2"/>
  <c r="AM12" i="2" s="1"/>
  <c r="AL6" i="2"/>
  <c r="AL4978" i="2"/>
  <c r="AL4968" i="2"/>
  <c r="AL4966" i="2"/>
  <c r="AL4957" i="2"/>
  <c r="AL4885" i="2"/>
  <c r="AL4869" i="2"/>
  <c r="AL4932" i="2"/>
  <c r="AL4990" i="2"/>
  <c r="AL4988" i="2"/>
  <c r="AL4903" i="2"/>
  <c r="AL4864" i="2"/>
  <c r="AL4711" i="2"/>
  <c r="AL4977" i="2"/>
  <c r="AL4937" i="2"/>
  <c r="AL4967" i="2"/>
  <c r="AL4912" i="2"/>
  <c r="AL4655" i="2"/>
  <c r="AL4907" i="2"/>
  <c r="AL4867" i="2"/>
  <c r="AL4842" i="2"/>
  <c r="AL4826" i="2"/>
  <c r="AL4814" i="2"/>
  <c r="AL4761" i="2"/>
  <c r="AL4746" i="2"/>
  <c r="AL4735" i="2"/>
  <c r="AL4726" i="2"/>
  <c r="AL4707" i="2"/>
  <c r="AL4699" i="2"/>
  <c r="AL4692" i="2"/>
  <c r="AL4651" i="2"/>
  <c r="AL4639" i="2"/>
  <c r="AL4628" i="2"/>
  <c r="AL4593" i="2"/>
  <c r="AL4568" i="2"/>
  <c r="AL4562" i="2"/>
  <c r="AL4524" i="2"/>
  <c r="AL4495" i="2"/>
  <c r="AL4462" i="2"/>
  <c r="AL4257" i="2"/>
  <c r="AL4190" i="2"/>
  <c r="AL4162" i="2"/>
  <c r="AL4882" i="2"/>
  <c r="AL4855" i="2"/>
  <c r="AL4773" i="2"/>
  <c r="AL4757" i="2"/>
  <c r="AL4681" i="2"/>
  <c r="AL4660" i="2"/>
  <c r="AL4569" i="2"/>
  <c r="AL4868" i="2"/>
  <c r="AL4831" i="2"/>
  <c r="AL4823" i="2"/>
  <c r="AL4803" i="2"/>
  <c r="AL4788" i="2"/>
  <c r="AL4777" i="2"/>
  <c r="AL4700" i="2"/>
  <c r="AL4657" i="2"/>
  <c r="AL4621" i="2"/>
  <c r="AL4613" i="2"/>
  <c r="AL4122" i="2"/>
  <c r="AL4972" i="2"/>
  <c r="AL4901" i="2"/>
  <c r="AL4851" i="2"/>
  <c r="AL4812" i="2"/>
  <c r="AL4767" i="2"/>
  <c r="AL4739" i="2"/>
  <c r="AL4712" i="2"/>
  <c r="AL4708" i="2"/>
  <c r="AL4705" i="2"/>
  <c r="AL4672" i="2"/>
  <c r="AL4622" i="2"/>
  <c r="AL4468" i="2"/>
  <c r="AL4270" i="2"/>
  <c r="AL4265" i="2"/>
  <c r="AL4982" i="2"/>
  <c r="AL4909" i="2"/>
  <c r="AL4828" i="2"/>
  <c r="AL4800" i="2"/>
  <c r="AL4774" i="2"/>
  <c r="AL4763" i="2"/>
  <c r="AL4755" i="2"/>
  <c r="AL4694" i="2"/>
  <c r="AL4693" i="2"/>
  <c r="AL4673" i="2"/>
  <c r="AL4641" i="2"/>
  <c r="AL4627" i="2"/>
  <c r="AL4598" i="2"/>
  <c r="AL4488" i="2"/>
  <c r="AL4471" i="2"/>
  <c r="AL4465" i="2"/>
  <c r="AL4424" i="2"/>
  <c r="AL4420" i="2"/>
  <c r="AL4902" i="2"/>
  <c r="AL4833" i="2"/>
  <c r="AL4801" i="2"/>
  <c r="AL4782" i="2"/>
  <c r="AL4729" i="2"/>
  <c r="AL4725" i="2"/>
  <c r="AL4718" i="2"/>
  <c r="AL4683" i="2"/>
  <c r="AL4680" i="2"/>
  <c r="AL4676" i="2"/>
  <c r="AL4631" i="2"/>
  <c r="AL4610" i="2"/>
  <c r="AL4602" i="2"/>
  <c r="AL4584" i="2"/>
  <c r="AL4570" i="2"/>
  <c r="AL4567" i="2"/>
  <c r="AL4539" i="2"/>
  <c r="AL4527" i="2"/>
  <c r="AL4523" i="2"/>
  <c r="AL4517" i="2"/>
  <c r="AL4491" i="2"/>
  <c r="AL4406" i="2"/>
  <c r="AL4252" i="2"/>
  <c r="AL4941" i="2"/>
  <c r="AL4805" i="2"/>
  <c r="AL4775" i="2"/>
  <c r="AL4737" i="2"/>
  <c r="AL4714" i="2"/>
  <c r="AL4666" i="2"/>
  <c r="AL4564" i="2"/>
  <c r="AL4538" i="2"/>
  <c r="AL4475" i="2"/>
  <c r="AL4043" i="2"/>
  <c r="AL3683" i="2"/>
  <c r="AL3531" i="2"/>
  <c r="AL3936" i="2"/>
  <c r="AL3760" i="2"/>
  <c r="AL3709" i="2"/>
  <c r="AL3494" i="2"/>
  <c r="AL3468" i="2"/>
  <c r="AL3382" i="2"/>
  <c r="AL3289" i="2"/>
  <c r="AL3976" i="2"/>
  <c r="AL3856" i="2"/>
  <c r="AL4072" i="2"/>
  <c r="AL3928" i="2"/>
  <c r="AL3892" i="2"/>
  <c r="AL3740" i="2"/>
  <c r="AL3610" i="2"/>
  <c r="AL3517" i="2"/>
  <c r="AL3955" i="2"/>
  <c r="AL3774" i="2"/>
  <c r="AL3757" i="2"/>
  <c r="AL3672" i="2"/>
  <c r="AL3535" i="2"/>
  <c r="AL3439" i="2"/>
  <c r="AL3316" i="2"/>
  <c r="AL3993" i="2"/>
  <c r="AL3947" i="2"/>
  <c r="AL3915" i="2"/>
  <c r="AL3899" i="2"/>
  <c r="AL3771" i="2"/>
  <c r="AL3751" i="2"/>
  <c r="AL3728" i="2"/>
  <c r="AL3555" i="2"/>
  <c r="AL3526" i="2"/>
  <c r="AL3302" i="2"/>
  <c r="AL3925" i="2"/>
  <c r="AL3499" i="2"/>
  <c r="AL3493" i="2"/>
  <c r="AL3018" i="2"/>
  <c r="AL3005" i="2"/>
  <c r="AL2923" i="2"/>
  <c r="AL2530" i="2"/>
  <c r="AL2462" i="2"/>
  <c r="AL2364" i="2"/>
  <c r="AL2357" i="2"/>
  <c r="AL2334" i="2"/>
  <c r="AL2320" i="2"/>
  <c r="AL2303" i="2"/>
  <c r="AL2673" i="2"/>
  <c r="AL2542" i="2"/>
  <c r="AL2482" i="2"/>
  <c r="AL2398" i="2"/>
  <c r="AL2379" i="2"/>
  <c r="AL2255" i="2"/>
  <c r="AL2637" i="2"/>
  <c r="AL2608" i="2"/>
  <c r="AL2827" i="2"/>
  <c r="AL2690" i="2"/>
  <c r="AL2674" i="2"/>
  <c r="AL2630" i="2"/>
  <c r="AL2624" i="2"/>
  <c r="AL2473" i="2"/>
  <c r="AL2438" i="2"/>
  <c r="AL2606" i="2"/>
  <c r="AL2416" i="2"/>
  <c r="AL2383" i="2"/>
  <c r="AL2277" i="2"/>
  <c r="AL2468" i="2"/>
  <c r="AL1818" i="2"/>
  <c r="AL1649" i="2"/>
  <c r="AL2216" i="2"/>
  <c r="AL2091" i="2"/>
  <c r="AL1971" i="2"/>
  <c r="AL2204" i="2"/>
  <c r="AL2159" i="2"/>
  <c r="AL2151" i="2"/>
  <c r="AL2124" i="2"/>
  <c r="AL2006" i="2"/>
  <c r="AL2224" i="2"/>
  <c r="AL2199" i="2"/>
  <c r="AL2191" i="2"/>
  <c r="AL2066" i="2"/>
  <c r="AL2015" i="2"/>
  <c r="AL1224" i="2"/>
  <c r="AL1111" i="2"/>
  <c r="AL1314" i="2"/>
  <c r="AL1544" i="2"/>
  <c r="AL1486" i="2"/>
  <c r="AL1088" i="2"/>
  <c r="AL1343" i="2"/>
  <c r="AL1308" i="2"/>
  <c r="AL1776" i="2"/>
  <c r="AL1455" i="2"/>
  <c r="AL1135" i="2"/>
  <c r="AL1093" i="2"/>
  <c r="AL947" i="2"/>
  <c r="AL925" i="2"/>
  <c r="AL1275" i="2"/>
  <c r="AL1001" i="2"/>
  <c r="AL967" i="2"/>
  <c r="AL597" i="2"/>
  <c r="AL297" i="2"/>
  <c r="AL179" i="2"/>
  <c r="AL169" i="2"/>
  <c r="AL163" i="2"/>
  <c r="AL48" i="2"/>
  <c r="AM48" i="2" s="1"/>
  <c r="AL324" i="2"/>
  <c r="AL168" i="2"/>
  <c r="AL5082" i="2"/>
  <c r="AL5131" i="2"/>
  <c r="AL5227" i="2"/>
  <c r="AL445" i="2"/>
  <c r="AL29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<sst xmlns="http://schemas.openxmlformats.org/spreadsheetml/2006/main" count="809" uniqueCount="222">
  <si>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</si>
  <si>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</si>
  <si>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</si>
  <si>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</si>
  <si>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</si>
  <si>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</si>
  <si>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</si>
  <si>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</si>
  <si>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</si>
  <si>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</si>
  <si>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</si>
  <si>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</si>
  <si>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</si>
  <si>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</si>
  <si>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</si>
  <si>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</si>
  <si>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</si>
  <si>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</si>
  <si>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</si>
  <si>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</si>
  <si>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</si>
  <si>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</si>
  <si>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</si>
  <si>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</si>
  <si>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</si>
  <si>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</si>
  <si>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</si>
  <si>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</si>
  <si>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</si>
  <si>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</si>
  <si>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</si>
  <si>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</si>
  <si>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</si>
  <si>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</si>
  <si>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</si>
  <si>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</si>
  <si>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</si>
  <si>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</si>
  <si>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</si>
  <si>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</si>
  <si>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</si>
  <si>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</si>
  <si>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</si>
  <si>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</si>
  <si>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</si>
  <si>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</si>
  <si>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</si>
  <si>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</si>
  <si>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</si>
  <si>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</si>
  <si>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</si>
  <si>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</si>
  <si>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</si>
  <si>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</si>
  <si>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</si>
  <si>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</si>
  <si>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</si>
  <si>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</si>
  <si>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</si>
  <si>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</si>
  <si>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</si>
  <si>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</si>
  <si>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</si>
  <si>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</si>
  <si>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</si>
  <si>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</si>
  <si>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</si>
  <si>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</si>
  <si>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</si>
  <si>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</si>
  <si>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</si>
  <si>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</si>
  <si>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</si>
  <si>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</si>
  <si>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</si>
  <si>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</si>
  <si>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</si>
  <si>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</si>
  <si>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</si>
  <si>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</si>
  <si>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</si>
  <si>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</si>
  <si>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</si>
  <si>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</si>
  <si>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</si>
  <si>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</si>
  <si>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</si>
  <si>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</si>
  <si>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</si>
  <si>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</si>
  <si>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</si>
  <si>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</si>
  <si>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Other</t>
  </si>
  <si>
    <t>MW</t>
  </si>
  <si>
    <t>Helen 900 FSR</t>
  </si>
  <si>
    <t>Open Bottom Structure</t>
  </si>
  <si>
    <t>No</t>
  </si>
  <si>
    <t>Small stream, good habitat with fines and gravely, and lots of cover and healthy riparian vegetation. 11:09</t>
  </si>
  <si>
    <t>Closed Bottom Structure</t>
  </si>
  <si>
    <t>Ford</t>
  </si>
  <si>
    <t>Tributary to Kispiox River</t>
  </si>
  <si>
    <t>Bridge</t>
  </si>
  <si>
    <t>Yes</t>
  </si>
  <si>
    <t>Helen Lake FSR</t>
  </si>
  <si>
    <t>Round Culvert</t>
  </si>
  <si>
    <t>Deep Fill</t>
  </si>
  <si>
    <t>Medium</t>
  </si>
  <si>
    <t>Wetland habitat on both sides, grassy and shrubs. Upstream has small cascade (0.5-1m high) draining into inlet pool. Bridge is in ok condition. 10:44</t>
  </si>
  <si>
    <t>Good habitat with large amounts of cover (LWD and overhanging veg). Culvert is rusted and a little warped but in good condition, no outlet drop. 11:44</t>
  </si>
  <si>
    <t>Low</t>
  </si>
  <si>
    <t>Big outlet drop with deep outlet pool. Some rusting in culvert and it's bent in the middle a little. 12:22</t>
  </si>
  <si>
    <t>Very little flow, shallow stream around culvert. Large amounts of woody debris blocking stream near inlet. Lots of cover around stream. 13:23</t>
  </si>
  <si>
    <t>Trib to McCully Creek</t>
  </si>
  <si>
    <t>Culvert is black and plastic. 14:16</t>
  </si>
  <si>
    <t>Poplar Park Road</t>
  </si>
  <si>
    <t>Drains into Pentz Lake, mostly dewatered. 15:22</t>
  </si>
  <si>
    <t>Some backwater, not a lot of flow. 15:39</t>
  </si>
  <si>
    <t>Big beaver dam right near inlet (about 2m in height). 16:12</t>
  </si>
  <si>
    <t>MW, AI</t>
  </si>
  <si>
    <t>Tributary to Footsore Lake</t>
  </si>
  <si>
    <t>Kispiox Valley Road</t>
  </si>
  <si>
    <t xml:space="preserve">Road has been deactivated with crossing polled. Lots of flow. 12:04       </t>
  </si>
  <si>
    <t>Sweetie River</t>
  </si>
  <si>
    <t>Nangeese FSR</t>
  </si>
  <si>
    <t>Stream is dewatered. Some rain water in pools. 14:05</t>
  </si>
  <si>
    <t>Corral Main</t>
  </si>
  <si>
    <t>Small cascade approx 50m upstream, could be barrier for smaller fish. 16:10</t>
  </si>
  <si>
    <t>Big beaver dam upstream of culvert with big pond. Huge outlet drop. 16:49</t>
  </si>
  <si>
    <t>Kuldo FSR</t>
  </si>
  <si>
    <t>Tributary to Cullon Creek</t>
  </si>
  <si>
    <t>Signs of beaver activity just upstream of inlet. Big pond above dam. Very steep downstream of outlet, long cascade. 12:14</t>
  </si>
  <si>
    <t>Big beaver guard on inlet. Blocking some of stream access from upstream. 13:02</t>
  </si>
  <si>
    <t>Waterfall directly downstream of outlet (2m in height). And short cascade upstream of inlet (approx 1m in height). 14:36</t>
  </si>
  <si>
    <t>Date Creek FSR</t>
  </si>
  <si>
    <t>Very high outlet drop and steep stream downstream. But good habitat upstream with some fines and gravels and lots of cover. 9:13</t>
  </si>
  <si>
    <t>Two plastic culverts, very low flow in both. Open wetland and shrub habitat u/s and d/s. Big floodplain u/s. 13:16</t>
  </si>
  <si>
    <t>Plastic culvert. Backwatered with some water near the inlet and outlet but none in culvert. Large tributary to the Kispiox with major connectivity issue. No fisheries information but should be fish bearing and if not it would be due to the culvert. Dam points located 600 m upstream of crossing. 13:59</t>
  </si>
  <si>
    <t>Dewatered stream. 14:46</t>
  </si>
  <si>
    <t>Moore Road</t>
  </si>
  <si>
    <t>Tributary to Kitwanga River</t>
  </si>
  <si>
    <t>High</t>
  </si>
  <si>
    <t>Embedded with no outlet drop. Very wide channel with gravels and cobbles. 10:18</t>
  </si>
  <si>
    <t>Two culverts, both embedded with no drop. Fish spotted in culvert(up to 20 cm in length) and downstream. Erosion near culvert. 10:50</t>
  </si>
  <si>
    <t>Hwy 37</t>
  </si>
  <si>
    <t>Dewatered downstream, but there's water in the culvert. Water upstream, opens up to big wetland and floodplain. 12:03</t>
  </si>
  <si>
    <t>Kitwancool Branch 2 FSR</t>
  </si>
  <si>
    <t>Cascade downstream of culvert that may block smaller fish. Approx 1m in height. No outlet drop. Good habitat upstream with lots of veg cover and LWD, no gravels or cobbles. Mostly fines and instream vegetation. 14:21</t>
  </si>
  <si>
    <t>Helen 9000</t>
  </si>
  <si>
    <t>AI</t>
  </si>
  <si>
    <t xml:space="preserve"> No structure visible. Beaver Ponds on both sides of the road. Diameter estimated. Large mature beaverdam located approximately 10 m downstream of road. 10:56    </t>
  </si>
  <si>
    <t xml:space="preserve">Tributary to Kispiox River </t>
  </si>
  <si>
    <t>Helen FSR</t>
  </si>
  <si>
    <t>Bedrock</t>
  </si>
  <si>
    <t xml:space="preserve">Natural bed rock cascade of greater than 20% immediately downstream of culvert outlet for a distance of approximately 20 m.  11:35  </t>
  </si>
  <si>
    <t xml:space="preserve">Tributary to McCully Creek </t>
  </si>
  <si>
    <t>Helen Lake Road</t>
  </si>
  <si>
    <t xml:space="preserve">Dry draw with all organic substrate and moss throughout channel. Culvert outlet is severely rusted with the bottom completely corroded for the last approximately 1 m. Unlikely a fish bearing stream. 13:39             </t>
  </si>
  <si>
    <t>Poplar Park Rd</t>
  </si>
  <si>
    <t>MoTi</t>
  </si>
  <si>
    <t>Pence Lake is located approximately 50 m upstream. Inlet of culvert is significantly damaged with metal that in words. Culvert is separating approximately halfway through the pipe â€“ see photo. Pipe is quite corroded. Pence Lake rec site is located approximately 2 to 300 m up the road. 15:30</t>
  </si>
  <si>
    <t>Tributary to Sweetin River</t>
  </si>
  <si>
    <t xml:space="preserve">Mossy draw. Channel is very small and poorly defined. Very unlikely that this is fish habitat.  Inlet covered with significant amounts of debris. 14:54     </t>
  </si>
  <si>
    <t xml:space="preserve">Kispiox Valley Road </t>
  </si>
  <si>
    <t xml:space="preserve"> Dry at time of survey. Significant moss on rocks throughout channel indicates his drive for a good portion of the year. Culvert is perched 3 m from stream channel with outlet emptying onto riprap. Culvert is bent severely in middle. 16:03     </t>
  </si>
  <si>
    <t>Mitten FSR</t>
  </si>
  <si>
    <t xml:space="preserve">Stream dry at time of assessment. Significant accumulation of debris just upstream of the inlet. 17:30        </t>
  </si>
  <si>
    <t>Pipe Arch</t>
  </si>
  <si>
    <t xml:space="preserve">Extremely steep rock steps immediately downstream of outlet. Downstream is 20% gradient with &gt;1m steps. FISS point from Triton indicates there is a 2 m barrier downstream that is a barrier to anadromous species. Additionally there is a 5 m rock documented near the confluence with the Kispiox. 18:09    </t>
  </si>
  <si>
    <t xml:space="preserve">Trib to Cullon Creek </t>
  </si>
  <si>
    <t>Shallow Fill</t>
  </si>
  <si>
    <t>Baffles installed. 13:32</t>
  </si>
  <si>
    <t>AI, JO</t>
  </si>
  <si>
    <t xml:space="preserve"> This is a small NCD drainage. Culvert is completely plugged and Inlet could not be located. Outlet of culvert is severely corroded. Very unlikely that this is a fish bearing system.   Culvert slope, channel with, ingredient estimated. 14:39</t>
  </si>
  <si>
    <t>Kuldo Creek</t>
  </si>
  <si>
    <t xml:space="preserve">Approximately 15 m down stream of Culvert outlet is a natural rock drop of 0.65 cm on bedrock.   Downstream of the culvert the gradient was measured at 17% over a distance of approximately 25 m. Seems very unlikely that a stream this small and steep would have fish presence upstream even if the culvert was fixed. This is unconfirmed. 15:06               </t>
  </si>
  <si>
    <t>.75-.90 m lock block step approximately 30 m down stream of culvert. Double pipe however river right pipe is not functioning and is 50% blocked outlet. 9:32</t>
  </si>
  <si>
    <t xml:space="preserve">Tributary to Skeena River </t>
  </si>
  <si>
    <t>Culvert appears very old and near end of life. Nice gravels upstream. Flow is moving between the two 1 m pipes. Trash rack on inlet would be barrier to coho moving up to spawn. 10:57</t>
  </si>
  <si>
    <t>Sik e Dakh water tower road</t>
  </si>
  <si>
    <t>Sik E Dakh</t>
  </si>
  <si>
    <t xml:space="preserve">Francis(chief) indicated this is historic CO harvest and spawning stream. 2 active culverts side by side. Trash rack has been removed from inlet. Inlet has significant amount of debris. Extensive gravels present suitable for CO spawning. Good flow and large stream. On road to water treatment plant. 12:20 </t>
  </si>
  <si>
    <t>Culvert has had recent roadwork with significant amounts of Phil added. Stream is running clear upstream of the culvert and is extremely turbod downstream due to erosion and runoff related to the construction to fix the road. Inlet of culvert is bent and damage with a lot of impediment at the top end of the pipe blocking significant portions of the flow. 16:33</t>
  </si>
  <si>
    <t>Seventeen Mile Road in</t>
  </si>
  <si>
    <t>MoTI</t>
  </si>
  <si>
    <t xml:space="preserve"> Wetland upstream. Debris cone on inlet has separated from the culvert. Large inlet drop due to the debris caught in the inlet. 17:14</t>
  </si>
  <si>
    <t>Historic backwatering with 6 downstream lock block weirs. SFC has assessed site in past. Very large system, pipe embedded until last 10m. Large outlet drop. Lots of algae. 10:46</t>
  </si>
  <si>
    <t>11A Ave</t>
  </si>
  <si>
    <t xml:space="preserve"> There are actually two pipes that are 0.65 cm. One pipe has a extension into the Beaverdam located immediately upstream of the inlet. This stream is not in the map location as it is located upstream via the Kitwanga River approximately 250 m. 12:14</t>
  </si>
  <si>
    <t>TP, VJ</t>
  </si>
  <si>
    <t>Hankin</t>
  </si>
  <si>
    <t>Sterritt creek</t>
  </si>
  <si>
    <t>JO</t>
  </si>
  <si>
    <t>Babine Slide FSR</t>
  </si>
  <si>
    <t>Culvert is separating 10 meters in from upstream, top of culvert slumping in. 10:06</t>
  </si>
  <si>
    <t>Mtcutcheon creek</t>
  </si>
  <si>
    <t>Tributary to Skeena River</t>
  </si>
  <si>
    <t>New structure and old structure was on the side of the road near bridge. 10:35</t>
  </si>
  <si>
    <t>Retaining fencing installed on both side of streams. Black sediment fencing also installed. 11:28</t>
  </si>
  <si>
    <t>newgraph_airvine</t>
  </si>
  <si>
    <t>Spur</t>
  </si>
  <si>
    <t xml:space="preserve">Salmon River road </t>
  </si>
  <si>
    <t>Pinenut Creek</t>
  </si>
  <si>
    <t xml:space="preserve">Structure was replaced in 1985. Concrete wing walls on inlet. Structure in decent shape. 13:39        </t>
  </si>
  <si>
    <t xml:space="preserve">Collapsed Bridge. Some erosion along side but not fish passage issue. 14:04      </t>
  </si>
  <si>
    <t>Tributary to McCully Creek</t>
  </si>
  <si>
    <t xml:space="preserve"> Deactivated spur road. Ford is not in the same position as shown on the map. 13:08</t>
  </si>
  <si>
    <t>MateoW</t>
  </si>
  <si>
    <t>Trib to Sammon Lake</t>
  </si>
  <si>
    <t>Fish spotted downstream of culvert. 16:38</t>
  </si>
  <si>
    <t>Tributary to Nangeese River</t>
  </si>
  <si>
    <t xml:space="preserve">Hodder </t>
  </si>
  <si>
    <t xml:space="preserve"> Bridge. Rode fairly brushed in. 13:03          </t>
  </si>
  <si>
    <t xml:space="preserve"> Bridge. Stream bed is dry at time of assessment. 18:33</t>
  </si>
  <si>
    <t>Trib to Cullon Creek</t>
  </si>
  <si>
    <t>Cullon Main</t>
  </si>
  <si>
    <t>Trib to Carrigan Creek</t>
  </si>
  <si>
    <t>Skeena Carrigan FSR</t>
  </si>
  <si>
    <t>Bridge with very deep fill. Approx 10cm between water and bottom of bridge. 15:38</t>
  </si>
  <si>
    <t>Bridge is a little rotten but in ok shape. 14:11</t>
  </si>
  <si>
    <t>Kitwanga River</t>
  </si>
  <si>
    <t>Bridge, beautiful river. 14:18</t>
  </si>
  <si>
    <t>Kitwancool Br.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</si>
</sst>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1" fillId="10" borderId="0" xfId="3" applyNumberFormat="1" applyFill="1"/>
    <xf numFmtId="2" fontId="0" fillId="10" borderId="0" xfId="0" applyNumberFormat="1" applyFill="1"/>
    <xf numFmtId="20" fontId="0" fillId="0" borderId="0" xfId="0" applyNumberFormat="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0"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D15" sqref="D15"/>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90" zoomScaleNormal="90" workbookViewId="0">
      <pane ySplit="4" topLeftCell="A5" activePane="bottomLeft" state="frozen"/>
      <selection pane="bottomLeft" activeCell="AP53" sqref="AP53"/>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44809</v>
      </c>
      <c r="C5" s="10">
        <v>8301039</v>
      </c>
      <c r="D5" s="10" t="s">
        <v>93</v>
      </c>
      <c r="E5" s="11">
        <v>9</v>
      </c>
      <c r="F5" s="39">
        <v>567730</v>
      </c>
      <c r="G5" s="39">
        <v>6152762</v>
      </c>
      <c r="I5" s="11" t="s">
        <v>94</v>
      </c>
      <c r="J5" s="33"/>
      <c r="L5" s="10" t="s">
        <v>92</v>
      </c>
      <c r="M5" s="10" t="s">
        <v>99</v>
      </c>
      <c r="N5" s="87"/>
      <c r="O5" s="87"/>
      <c r="P5" s="86"/>
      <c r="Q5" s="86"/>
      <c r="R5" s="86"/>
      <c r="S5" s="86"/>
      <c r="T5" s="86"/>
      <c r="U5" s="86"/>
      <c r="V5" s="86"/>
      <c r="W5" s="86"/>
      <c r="X5" s="86"/>
      <c r="Y5" s="86"/>
      <c r="Z5" s="86"/>
      <c r="AA5" s="86"/>
      <c r="AB5" s="10" t="s">
        <v>96</v>
      </c>
      <c r="AC5" s="10" t="s">
        <v>96</v>
      </c>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78" t="s">
        <v>97</v>
      </c>
    </row>
    <row r="6" spans="1:42" x14ac:dyDescent="0.25">
      <c r="A6" s="59">
        <v>44809</v>
      </c>
      <c r="C6" s="10">
        <v>8302422</v>
      </c>
      <c r="D6" s="10" t="s">
        <v>93</v>
      </c>
      <c r="E6" s="11">
        <v>9</v>
      </c>
      <c r="F6" s="39">
        <v>568047</v>
      </c>
      <c r="G6" s="39">
        <v>6152961</v>
      </c>
      <c r="H6" s="10" t="s">
        <v>100</v>
      </c>
      <c r="I6" s="11" t="s">
        <v>94</v>
      </c>
      <c r="J6" s="33">
        <v>1.9</v>
      </c>
      <c r="K6" s="10"/>
      <c r="L6" s="10" t="s">
        <v>95</v>
      </c>
      <c r="M6" s="10" t="s">
        <v>101</v>
      </c>
      <c r="N6" s="85">
        <v>4</v>
      </c>
      <c r="O6" s="85">
        <v>10</v>
      </c>
      <c r="P6" s="86"/>
      <c r="Q6" s="86"/>
      <c r="R6" s="86"/>
      <c r="S6" s="86"/>
      <c r="T6" s="86"/>
      <c r="U6" s="86"/>
      <c r="V6" s="86"/>
      <c r="W6" s="86"/>
      <c r="X6" s="86"/>
      <c r="Y6" s="86"/>
      <c r="Z6" s="86"/>
      <c r="AA6" s="86"/>
      <c r="AB6" s="10" t="s">
        <v>102</v>
      </c>
      <c r="AC6" s="10" t="s">
        <v>96</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107</v>
      </c>
    </row>
    <row r="7" spans="1:42" x14ac:dyDescent="0.25">
      <c r="A7" s="59">
        <v>44809</v>
      </c>
      <c r="C7" s="10">
        <v>8302064</v>
      </c>
      <c r="D7" s="10" t="s">
        <v>93</v>
      </c>
      <c r="E7" s="11">
        <v>9</v>
      </c>
      <c r="F7" s="39">
        <v>567986</v>
      </c>
      <c r="G7" s="39">
        <v>6151778</v>
      </c>
      <c r="H7" s="10" t="s">
        <v>100</v>
      </c>
      <c r="I7" s="11" t="s">
        <v>103</v>
      </c>
      <c r="J7" s="33">
        <v>9.9</v>
      </c>
      <c r="K7" s="10"/>
      <c r="L7" s="10" t="s">
        <v>98</v>
      </c>
      <c r="M7" s="10" t="s">
        <v>104</v>
      </c>
      <c r="N7" s="21">
        <v>0.9</v>
      </c>
      <c r="O7" s="21">
        <v>12.5</v>
      </c>
      <c r="P7" s="10" t="s">
        <v>96</v>
      </c>
      <c r="Q7" s="86"/>
      <c r="R7" s="10" t="s">
        <v>96</v>
      </c>
      <c r="S7" s="10" t="s">
        <v>96</v>
      </c>
      <c r="T7" s="86"/>
      <c r="U7" s="10">
        <v>1.5</v>
      </c>
      <c r="V7" s="10">
        <v>0</v>
      </c>
      <c r="W7" s="10">
        <v>0.1</v>
      </c>
      <c r="X7" s="10" t="s">
        <v>96</v>
      </c>
      <c r="Y7" s="10">
        <v>1</v>
      </c>
      <c r="Z7" s="10">
        <v>1.4</v>
      </c>
      <c r="AA7" s="10">
        <v>1.5</v>
      </c>
      <c r="AB7" s="10" t="s">
        <v>96</v>
      </c>
      <c r="AC7" s="10" t="s">
        <v>96</v>
      </c>
      <c r="AD7" s="10" t="s">
        <v>105</v>
      </c>
      <c r="AE7" s="10" t="s">
        <v>106</v>
      </c>
      <c r="AF7" s="20">
        <f t="shared" si="0"/>
        <v>1.5555555555555554</v>
      </c>
      <c r="AG7" s="13">
        <f t="shared" si="1"/>
        <v>0</v>
      </c>
      <c r="AH7" s="7">
        <f t="shared" si="2"/>
        <v>10</v>
      </c>
      <c r="AI7" s="7">
        <f t="shared" si="3"/>
        <v>0</v>
      </c>
      <c r="AJ7" s="7">
        <f t="shared" si="4"/>
        <v>5</v>
      </c>
      <c r="AK7" s="7">
        <f t="shared" si="5"/>
        <v>6</v>
      </c>
      <c r="AL7" s="12">
        <f t="shared" si="6"/>
        <v>21</v>
      </c>
      <c r="AM7" s="14" t="str">
        <f t="shared" si="7"/>
        <v>Barrier</v>
      </c>
      <c r="AO7" s="10"/>
      <c r="AP7" s="10" t="s">
        <v>108</v>
      </c>
    </row>
    <row r="8" spans="1:42" x14ac:dyDescent="0.25">
      <c r="A8" s="59">
        <v>44809</v>
      </c>
      <c r="B8" s="82"/>
      <c r="C8" s="10">
        <v>8302070</v>
      </c>
      <c r="D8" s="10" t="s">
        <v>93</v>
      </c>
      <c r="E8" s="11">
        <v>9</v>
      </c>
      <c r="F8" s="39">
        <v>570210.42079999996</v>
      </c>
      <c r="G8" s="39">
        <v>6150339.8130000001</v>
      </c>
      <c r="H8" s="10" t="s">
        <v>100</v>
      </c>
      <c r="I8" s="11" t="s">
        <v>103</v>
      </c>
      <c r="J8" s="79"/>
      <c r="K8" s="81"/>
      <c r="L8" s="10" t="s">
        <v>98</v>
      </c>
      <c r="M8" s="10" t="s">
        <v>104</v>
      </c>
      <c r="N8" s="21">
        <v>0.6</v>
      </c>
      <c r="O8" s="21">
        <v>8</v>
      </c>
      <c r="P8" s="10" t="s">
        <v>96</v>
      </c>
      <c r="Q8" s="86"/>
      <c r="R8" s="10" t="s">
        <v>96</v>
      </c>
      <c r="S8" s="10" t="s">
        <v>96</v>
      </c>
      <c r="T8" s="86"/>
      <c r="U8" s="10">
        <v>3</v>
      </c>
      <c r="V8" s="10">
        <v>0.6</v>
      </c>
      <c r="W8" s="10">
        <v>0.7</v>
      </c>
      <c r="X8" s="10" t="s">
        <v>102</v>
      </c>
      <c r="Y8" s="10">
        <v>2</v>
      </c>
      <c r="Z8" s="10">
        <v>2.2999999999999998</v>
      </c>
      <c r="AA8" s="10">
        <v>1</v>
      </c>
      <c r="AB8" s="10" t="s">
        <v>96</v>
      </c>
      <c r="AC8" s="10" t="s">
        <v>96</v>
      </c>
      <c r="AD8" s="10" t="s">
        <v>105</v>
      </c>
      <c r="AE8" s="10" t="s">
        <v>106</v>
      </c>
      <c r="AF8" s="20">
        <f t="shared" si="0"/>
        <v>3.833333333333333</v>
      </c>
      <c r="AG8" s="13">
        <f t="shared" si="1"/>
        <v>0</v>
      </c>
      <c r="AH8" s="7">
        <f t="shared" si="2"/>
        <v>10</v>
      </c>
      <c r="AI8" s="7">
        <f t="shared" si="3"/>
        <v>10</v>
      </c>
      <c r="AJ8" s="7">
        <f t="shared" si="4"/>
        <v>5</v>
      </c>
      <c r="AK8" s="7">
        <f t="shared" si="5"/>
        <v>6</v>
      </c>
      <c r="AL8" s="12">
        <f t="shared" si="6"/>
        <v>31</v>
      </c>
      <c r="AM8" s="14" t="str">
        <f t="shared" si="7"/>
        <v>Barrier</v>
      </c>
      <c r="AO8" s="10"/>
      <c r="AP8" s="10" t="s">
        <v>110</v>
      </c>
    </row>
    <row r="9" spans="1:42" x14ac:dyDescent="0.25">
      <c r="A9" s="59">
        <v>44809</v>
      </c>
      <c r="C9" s="10">
        <v>8302074</v>
      </c>
      <c r="D9" s="10" t="s">
        <v>93</v>
      </c>
      <c r="E9" s="11">
        <v>9</v>
      </c>
      <c r="F9" s="39">
        <v>570565.80189999996</v>
      </c>
      <c r="G9" s="39">
        <v>6150060.023</v>
      </c>
      <c r="H9" s="10" t="s">
        <v>100</v>
      </c>
      <c r="I9" s="11" t="s">
        <v>103</v>
      </c>
      <c r="J9" s="33"/>
      <c r="K9" s="81"/>
      <c r="L9" s="10" t="s">
        <v>98</v>
      </c>
      <c r="M9" s="10" t="s">
        <v>104</v>
      </c>
      <c r="N9" s="21">
        <v>0.6</v>
      </c>
      <c r="O9" s="21">
        <v>8</v>
      </c>
      <c r="P9" s="10" t="s">
        <v>96</v>
      </c>
      <c r="Q9" s="86"/>
      <c r="R9" s="10" t="s">
        <v>96</v>
      </c>
      <c r="S9" s="10" t="s">
        <v>96</v>
      </c>
      <c r="T9" s="86"/>
      <c r="U9" s="10">
        <v>0.7</v>
      </c>
      <c r="V9" s="10">
        <v>0.2</v>
      </c>
      <c r="W9" s="10">
        <v>0.1</v>
      </c>
      <c r="X9" s="10" t="s">
        <v>96</v>
      </c>
      <c r="Y9" s="10">
        <v>0.5</v>
      </c>
      <c r="Z9" s="10">
        <v>1.1000000000000001</v>
      </c>
      <c r="AA9" s="10">
        <v>1</v>
      </c>
      <c r="AB9" s="10" t="s">
        <v>96</v>
      </c>
      <c r="AC9" s="10" t="s">
        <v>96</v>
      </c>
      <c r="AD9" s="10" t="s">
        <v>105</v>
      </c>
      <c r="AE9" s="10" t="s">
        <v>109</v>
      </c>
      <c r="AF9" s="20">
        <f t="shared" si="0"/>
        <v>1.8333333333333335</v>
      </c>
      <c r="AG9" s="13">
        <f t="shared" si="1"/>
        <v>0</v>
      </c>
      <c r="AH9" s="7">
        <f t="shared" si="2"/>
        <v>10</v>
      </c>
      <c r="AI9" s="7">
        <f t="shared" si="3"/>
        <v>5</v>
      </c>
      <c r="AJ9" s="7">
        <f t="shared" si="4"/>
        <v>0</v>
      </c>
      <c r="AK9" s="7">
        <f t="shared" si="5"/>
        <v>6</v>
      </c>
      <c r="AL9" s="12">
        <f t="shared" si="6"/>
        <v>21</v>
      </c>
      <c r="AM9" s="14" t="str">
        <f t="shared" si="7"/>
        <v>Barrier</v>
      </c>
      <c r="AO9" s="10"/>
      <c r="AP9" s="10" t="s">
        <v>111</v>
      </c>
    </row>
    <row r="10" spans="1:42" x14ac:dyDescent="0.25">
      <c r="A10" s="59">
        <v>44809</v>
      </c>
      <c r="C10" s="10">
        <v>8300115</v>
      </c>
      <c r="D10" s="10" t="s">
        <v>93</v>
      </c>
      <c r="E10" s="11">
        <v>9</v>
      </c>
      <c r="F10" s="39">
        <v>574866.26289999997</v>
      </c>
      <c r="G10" s="39">
        <v>6149021.1509999996</v>
      </c>
      <c r="H10" s="78" t="s">
        <v>112</v>
      </c>
      <c r="I10" s="11" t="s">
        <v>103</v>
      </c>
      <c r="J10" s="33"/>
      <c r="K10" s="10"/>
      <c r="L10" s="10" t="s">
        <v>98</v>
      </c>
      <c r="M10" s="10" t="s">
        <v>104</v>
      </c>
      <c r="N10" s="21">
        <v>0.7</v>
      </c>
      <c r="O10" s="21">
        <v>11</v>
      </c>
      <c r="P10" s="10" t="s">
        <v>96</v>
      </c>
      <c r="Q10" s="88"/>
      <c r="R10" s="10" t="s">
        <v>96</v>
      </c>
      <c r="S10" s="10" t="s">
        <v>96</v>
      </c>
      <c r="T10" s="88"/>
      <c r="U10" s="21">
        <v>0.3</v>
      </c>
      <c r="V10" s="10">
        <v>0</v>
      </c>
      <c r="W10" s="21">
        <v>0</v>
      </c>
      <c r="X10" s="10" t="s">
        <v>96</v>
      </c>
      <c r="Y10" s="21">
        <v>2</v>
      </c>
      <c r="AA10" s="10">
        <v>1</v>
      </c>
      <c r="AB10" s="10" t="s">
        <v>96</v>
      </c>
      <c r="AC10" s="10" t="s">
        <v>96</v>
      </c>
      <c r="AD10" s="10" t="s">
        <v>105</v>
      </c>
      <c r="AE10" s="10" t="s">
        <v>109</v>
      </c>
      <c r="AF10" s="20">
        <f t="shared" si="0"/>
        <v>0</v>
      </c>
      <c r="AG10" s="13">
        <f t="shared" si="1"/>
        <v>0</v>
      </c>
      <c r="AH10" s="7">
        <f t="shared" si="2"/>
        <v>10</v>
      </c>
      <c r="AI10" s="7">
        <f t="shared" si="3"/>
        <v>0</v>
      </c>
      <c r="AJ10" s="7">
        <f t="shared" si="4"/>
        <v>5</v>
      </c>
      <c r="AK10" s="7">
        <f t="shared" si="5"/>
        <v>0</v>
      </c>
      <c r="AL10" s="12">
        <f t="shared" si="6"/>
        <v>15</v>
      </c>
      <c r="AM10" s="14" t="str">
        <f t="shared" si="7"/>
        <v>Potential</v>
      </c>
      <c r="AP10" s="10" t="s">
        <v>113</v>
      </c>
    </row>
    <row r="11" spans="1:42" ht="30" x14ac:dyDescent="0.25">
      <c r="A11" s="59">
        <v>44809</v>
      </c>
      <c r="C11" s="78">
        <v>8300162</v>
      </c>
      <c r="D11" s="10" t="s">
        <v>93</v>
      </c>
      <c r="E11" s="11">
        <v>9</v>
      </c>
      <c r="F11" s="80">
        <v>573033.22470000002</v>
      </c>
      <c r="G11" s="80">
        <v>6151996.9409999996</v>
      </c>
      <c r="H11" s="11" t="s">
        <v>100</v>
      </c>
      <c r="I11" s="11" t="s">
        <v>114</v>
      </c>
      <c r="J11" s="33"/>
      <c r="K11" s="10"/>
      <c r="L11" s="10" t="s">
        <v>98</v>
      </c>
      <c r="M11" s="10" t="s">
        <v>104</v>
      </c>
      <c r="N11" s="21">
        <v>0.7</v>
      </c>
      <c r="O11" s="21">
        <v>8.5</v>
      </c>
      <c r="P11" s="10" t="s">
        <v>96</v>
      </c>
      <c r="Q11" s="88"/>
      <c r="R11" s="10" t="s">
        <v>96</v>
      </c>
      <c r="S11" s="10" t="s">
        <v>96</v>
      </c>
      <c r="T11" s="88"/>
      <c r="U11" s="21">
        <v>0.5</v>
      </c>
      <c r="V11" s="10">
        <v>0</v>
      </c>
      <c r="W11" s="21">
        <v>0</v>
      </c>
      <c r="X11" s="10" t="s">
        <v>96</v>
      </c>
      <c r="Y11" s="21">
        <v>0</v>
      </c>
      <c r="Z11" s="21">
        <v>1.2</v>
      </c>
      <c r="AA11" s="10">
        <v>1</v>
      </c>
      <c r="AB11" s="10" t="s">
        <v>96</v>
      </c>
      <c r="AC11" s="10" t="s">
        <v>96</v>
      </c>
      <c r="AD11" s="10" t="s">
        <v>105</v>
      </c>
      <c r="AE11" s="10" t="s">
        <v>109</v>
      </c>
      <c r="AF11" s="20">
        <f t="shared" si="0"/>
        <v>1.7142857142857144</v>
      </c>
      <c r="AG11" s="13">
        <f t="shared" si="1"/>
        <v>0</v>
      </c>
      <c r="AH11" s="7">
        <f t="shared" si="2"/>
        <v>10</v>
      </c>
      <c r="AI11" s="7">
        <f t="shared" si="3"/>
        <v>0</v>
      </c>
      <c r="AJ11" s="7">
        <f>IF(Y11&lt;1,0,IF(AND(Y11&gt;=1,Y11&lt;3),5,IF(Y11&gt;=3,10,0)))</f>
        <v>0</v>
      </c>
      <c r="AK11" s="7">
        <f t="shared" si="5"/>
        <v>6</v>
      </c>
      <c r="AL11" s="12">
        <f t="shared" si="6"/>
        <v>16</v>
      </c>
      <c r="AM11" s="14" t="str">
        <f t="shared" si="7"/>
        <v>Potential</v>
      </c>
      <c r="AO11" s="10"/>
      <c r="AP11" s="10" t="s">
        <v>115</v>
      </c>
    </row>
    <row r="12" spans="1:42" ht="30" x14ac:dyDescent="0.25">
      <c r="A12" s="59">
        <v>44809</v>
      </c>
      <c r="C12" s="10">
        <v>2798180</v>
      </c>
      <c r="D12" s="10" t="s">
        <v>93</v>
      </c>
      <c r="E12" s="11">
        <v>9</v>
      </c>
      <c r="F12" s="39">
        <v>573036.04639999999</v>
      </c>
      <c r="G12" s="39">
        <v>6151831.1710000001</v>
      </c>
      <c r="H12" s="11" t="s">
        <v>100</v>
      </c>
      <c r="I12" s="11" t="s">
        <v>114</v>
      </c>
      <c r="J12" s="33"/>
      <c r="L12" s="10" t="s">
        <v>98</v>
      </c>
      <c r="M12" s="10" t="s">
        <v>104</v>
      </c>
      <c r="N12" s="21">
        <v>0.4</v>
      </c>
      <c r="O12" s="21">
        <v>9</v>
      </c>
      <c r="P12" s="10" t="s">
        <v>96</v>
      </c>
      <c r="Q12" s="86"/>
      <c r="R12" s="10" t="s">
        <v>96</v>
      </c>
      <c r="S12" s="10" t="s">
        <v>102</v>
      </c>
      <c r="T12" s="21">
        <v>50</v>
      </c>
      <c r="U12" s="21">
        <v>0.3</v>
      </c>
      <c r="V12" s="10">
        <v>0</v>
      </c>
      <c r="W12" s="21">
        <v>0</v>
      </c>
      <c r="X12" s="10" t="s">
        <v>96</v>
      </c>
      <c r="Y12" s="21">
        <v>1</v>
      </c>
      <c r="Z12" s="21">
        <v>2.1</v>
      </c>
      <c r="AA12" s="10">
        <v>1</v>
      </c>
      <c r="AB12" s="10" t="s">
        <v>96</v>
      </c>
      <c r="AC12" s="10" t="s">
        <v>96</v>
      </c>
      <c r="AD12" s="10" t="s">
        <v>105</v>
      </c>
      <c r="AE12" s="10" t="s">
        <v>109</v>
      </c>
      <c r="AF12" s="20">
        <f t="shared" ref="AF12:AF72" si="8">IF(ISBLANK(Z12), 0, IF(ISBLANK(N12) &lt; 0, 0,Z12 / N12))</f>
        <v>5.25</v>
      </c>
      <c r="AG12" s="13">
        <f t="shared" si="1"/>
        <v>0</v>
      </c>
      <c r="AH12" s="7">
        <f t="shared" si="2"/>
        <v>10</v>
      </c>
      <c r="AI12" s="7">
        <f t="shared" si="3"/>
        <v>0</v>
      </c>
      <c r="AJ12" s="7">
        <f t="shared" si="4"/>
        <v>5</v>
      </c>
      <c r="AK12" s="7">
        <f t="shared" si="5"/>
        <v>6</v>
      </c>
      <c r="AL12" s="12">
        <f t="shared" ref="AL12:AL70" si="9">AG12 + AH12 + AI12 + AJ12 + AK12</f>
        <v>21</v>
      </c>
      <c r="AM12" s="14" t="str">
        <f t="shared" si="7"/>
        <v>Barrier</v>
      </c>
      <c r="AP12" s="10" t="s">
        <v>116</v>
      </c>
    </row>
    <row r="13" spans="1:42" ht="30" x14ac:dyDescent="0.25">
      <c r="A13" s="59">
        <v>44809</v>
      </c>
      <c r="C13" s="10">
        <v>8300161</v>
      </c>
      <c r="D13" s="10" t="s">
        <v>93</v>
      </c>
      <c r="E13" s="11">
        <v>9</v>
      </c>
      <c r="F13" s="39">
        <v>575069.51780000003</v>
      </c>
      <c r="G13" s="39">
        <v>6150345.2690000003</v>
      </c>
      <c r="H13" s="11" t="s">
        <v>100</v>
      </c>
      <c r="I13" s="11" t="s">
        <v>114</v>
      </c>
      <c r="L13" s="10" t="s">
        <v>98</v>
      </c>
      <c r="M13" s="10" t="s">
        <v>104</v>
      </c>
      <c r="N13" s="21">
        <v>1.1000000000000001</v>
      </c>
      <c r="O13" s="21">
        <v>11</v>
      </c>
      <c r="P13" s="10" t="s">
        <v>96</v>
      </c>
      <c r="Q13" s="86"/>
      <c r="R13" s="10" t="s">
        <v>96</v>
      </c>
      <c r="S13" s="10" t="s">
        <v>96</v>
      </c>
      <c r="T13" s="86"/>
      <c r="U13" s="21">
        <v>2.5</v>
      </c>
      <c r="V13" s="10">
        <v>0.2</v>
      </c>
      <c r="W13" s="21">
        <v>0.2</v>
      </c>
      <c r="X13" s="10" t="s">
        <v>102</v>
      </c>
      <c r="Y13" s="21">
        <v>2</v>
      </c>
      <c r="Z13" s="21">
        <v>2.2999999999999998</v>
      </c>
      <c r="AA13" s="10">
        <v>1.5</v>
      </c>
      <c r="AB13" s="10" t="s">
        <v>102</v>
      </c>
      <c r="AC13" s="10" t="s">
        <v>96</v>
      </c>
      <c r="AD13" s="10" t="s">
        <v>105</v>
      </c>
      <c r="AE13" s="10" t="s">
        <v>109</v>
      </c>
      <c r="AF13" s="20">
        <f t="shared" si="8"/>
        <v>2.0909090909090904</v>
      </c>
      <c r="AG13" s="13">
        <f t="shared" si="1"/>
        <v>0</v>
      </c>
      <c r="AH13" s="7">
        <f t="shared" si="2"/>
        <v>10</v>
      </c>
      <c r="AI13" s="7">
        <f t="shared" si="3"/>
        <v>5</v>
      </c>
      <c r="AJ13" s="7">
        <f t="shared" si="4"/>
        <v>5</v>
      </c>
      <c r="AK13" s="7">
        <f t="shared" si="5"/>
        <v>6</v>
      </c>
      <c r="AL13" s="12">
        <f t="shared" si="9"/>
        <v>26</v>
      </c>
      <c r="AM13" s="14" t="str">
        <f t="shared" si="7"/>
        <v>Barrier</v>
      </c>
      <c r="AP13" s="10" t="s">
        <v>117</v>
      </c>
    </row>
    <row r="14" spans="1:42" ht="30" x14ac:dyDescent="0.25">
      <c r="A14" s="59">
        <v>44810</v>
      </c>
      <c r="C14" s="10">
        <v>8300124</v>
      </c>
      <c r="D14" s="10" t="s">
        <v>118</v>
      </c>
      <c r="E14" s="11">
        <v>9</v>
      </c>
      <c r="F14" s="39">
        <v>533805.93259999994</v>
      </c>
      <c r="G14" s="39">
        <v>6176387.0520000001</v>
      </c>
      <c r="H14" s="11" t="s">
        <v>119</v>
      </c>
      <c r="I14" s="11" t="s">
        <v>120</v>
      </c>
      <c r="L14" s="10" t="s">
        <v>92</v>
      </c>
      <c r="M14" s="10" t="s">
        <v>99</v>
      </c>
      <c r="N14" s="88"/>
      <c r="O14" s="88"/>
      <c r="P14" s="86"/>
      <c r="Q14" s="86"/>
      <c r="R14" s="86"/>
      <c r="S14" s="86"/>
      <c r="T14" s="86"/>
      <c r="U14" s="88"/>
      <c r="V14" s="86"/>
      <c r="W14" s="88"/>
      <c r="X14" s="86"/>
      <c r="Y14" s="88"/>
      <c r="Z14" s="88"/>
      <c r="AA14" s="86"/>
      <c r="AB14" s="10" t="s">
        <v>96</v>
      </c>
      <c r="AC14" s="10" t="s">
        <v>96</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Unknown</v>
      </c>
      <c r="AP14" s="10" t="s">
        <v>121</v>
      </c>
    </row>
    <row r="15" spans="1:42" x14ac:dyDescent="0.25">
      <c r="A15" s="59">
        <v>44810</v>
      </c>
      <c r="C15" s="10">
        <v>8302683</v>
      </c>
      <c r="D15" s="10" t="s">
        <v>93</v>
      </c>
      <c r="E15" s="11">
        <v>9</v>
      </c>
      <c r="F15" s="39">
        <v>541972.93279999995</v>
      </c>
      <c r="G15" s="39">
        <v>6174712.2010000004</v>
      </c>
      <c r="H15" s="11" t="s">
        <v>122</v>
      </c>
      <c r="I15" s="11" t="s">
        <v>123</v>
      </c>
      <c r="L15" s="10" t="s">
        <v>98</v>
      </c>
      <c r="M15" s="10" t="s">
        <v>104</v>
      </c>
      <c r="N15" s="21">
        <v>0.6</v>
      </c>
      <c r="O15" s="21">
        <v>8</v>
      </c>
      <c r="P15" s="10" t="s">
        <v>96</v>
      </c>
      <c r="Q15" s="86"/>
      <c r="R15" s="10" t="s">
        <v>96</v>
      </c>
      <c r="S15" s="10" t="s">
        <v>96</v>
      </c>
      <c r="T15" s="88"/>
      <c r="U15" s="21">
        <v>1</v>
      </c>
      <c r="V15" s="10">
        <v>0</v>
      </c>
      <c r="W15" s="21">
        <v>0</v>
      </c>
      <c r="X15" s="10" t="s">
        <v>96</v>
      </c>
      <c r="Y15" s="21">
        <v>1</v>
      </c>
      <c r="Z15" s="21">
        <v>1.9</v>
      </c>
      <c r="AA15" s="10">
        <v>2</v>
      </c>
      <c r="AB15" s="10" t="s">
        <v>96</v>
      </c>
      <c r="AC15" s="10" t="s">
        <v>96</v>
      </c>
      <c r="AD15" s="10" t="s">
        <v>105</v>
      </c>
      <c r="AE15" s="10" t="s">
        <v>109</v>
      </c>
      <c r="AF15" s="20">
        <f t="shared" si="8"/>
        <v>3.1666666666666665</v>
      </c>
      <c r="AG15" s="13">
        <f t="shared" si="1"/>
        <v>0</v>
      </c>
      <c r="AH15" s="7">
        <f t="shared" si="2"/>
        <v>10</v>
      </c>
      <c r="AI15" s="7">
        <f t="shared" si="3"/>
        <v>0</v>
      </c>
      <c r="AJ15" s="7">
        <f t="shared" si="4"/>
        <v>5</v>
      </c>
      <c r="AK15" s="7">
        <f t="shared" si="5"/>
        <v>6</v>
      </c>
      <c r="AL15" s="12">
        <f t="shared" si="9"/>
        <v>21</v>
      </c>
      <c r="AM15" s="14" t="str">
        <f t="shared" si="7"/>
        <v>Barrier</v>
      </c>
      <c r="AP15" s="10" t="s">
        <v>124</v>
      </c>
    </row>
    <row r="16" spans="1:42" ht="30" x14ac:dyDescent="0.25">
      <c r="A16" s="59">
        <v>44810</v>
      </c>
      <c r="C16" s="10">
        <v>8302061</v>
      </c>
      <c r="D16" s="10" t="s">
        <v>93</v>
      </c>
      <c r="E16" s="11">
        <v>9</v>
      </c>
      <c r="F16" s="39">
        <v>554147.7879</v>
      </c>
      <c r="G16" s="39">
        <v>6166257.2560000001</v>
      </c>
      <c r="H16" s="11" t="s">
        <v>100</v>
      </c>
      <c r="I16" s="11" t="s">
        <v>125</v>
      </c>
      <c r="L16" s="10" t="s">
        <v>98</v>
      </c>
      <c r="M16" s="10" t="s">
        <v>104</v>
      </c>
      <c r="N16" s="21">
        <v>0.5</v>
      </c>
      <c r="O16" s="21">
        <v>13</v>
      </c>
      <c r="P16" s="10" t="s">
        <v>96</v>
      </c>
      <c r="Q16" s="86"/>
      <c r="R16" s="10" t="s">
        <v>96</v>
      </c>
      <c r="S16" s="10" t="s">
        <v>96</v>
      </c>
      <c r="T16" s="88"/>
      <c r="U16" s="21">
        <v>3</v>
      </c>
      <c r="V16" s="10">
        <v>0.2</v>
      </c>
      <c r="W16" s="21">
        <v>0.15</v>
      </c>
      <c r="X16" s="10" t="s">
        <v>102</v>
      </c>
      <c r="Y16" s="21">
        <v>3</v>
      </c>
      <c r="Z16" s="21">
        <v>1.5</v>
      </c>
      <c r="AA16" s="10">
        <v>4</v>
      </c>
      <c r="AB16" s="10" t="s">
        <v>96</v>
      </c>
      <c r="AC16" s="10" t="s">
        <v>96</v>
      </c>
      <c r="AD16" s="10" t="s">
        <v>105</v>
      </c>
      <c r="AE16" s="10" t="s">
        <v>106</v>
      </c>
      <c r="AF16" s="20">
        <f t="shared" si="8"/>
        <v>3</v>
      </c>
      <c r="AG16" s="13">
        <f t="shared" si="1"/>
        <v>0</v>
      </c>
      <c r="AH16" s="7">
        <f t="shared" si="2"/>
        <v>10</v>
      </c>
      <c r="AI16" s="7">
        <f t="shared" si="3"/>
        <v>5</v>
      </c>
      <c r="AJ16" s="7">
        <f t="shared" si="4"/>
        <v>10</v>
      </c>
      <c r="AK16" s="7">
        <f t="shared" si="5"/>
        <v>6</v>
      </c>
      <c r="AL16" s="12">
        <f t="shared" si="9"/>
        <v>31</v>
      </c>
      <c r="AM16" s="14" t="str">
        <f t="shared" si="7"/>
        <v>Barrier</v>
      </c>
      <c r="AP16" s="10" t="s">
        <v>126</v>
      </c>
    </row>
    <row r="17" spans="1:42" ht="30" x14ac:dyDescent="0.25">
      <c r="A17" s="59">
        <v>44810</v>
      </c>
      <c r="C17" s="10">
        <v>8302062</v>
      </c>
      <c r="D17" s="10" t="s">
        <v>93</v>
      </c>
      <c r="E17" s="11">
        <v>9</v>
      </c>
      <c r="F17" s="39">
        <v>554493.42290000001</v>
      </c>
      <c r="G17" s="39">
        <v>6166450.3210000005</v>
      </c>
      <c r="H17" s="11" t="s">
        <v>100</v>
      </c>
      <c r="I17" s="11" t="s">
        <v>125</v>
      </c>
      <c r="L17" s="10" t="s">
        <v>98</v>
      </c>
      <c r="M17" s="10" t="s">
        <v>104</v>
      </c>
      <c r="N17" s="21">
        <v>0.6</v>
      </c>
      <c r="O17" s="21">
        <v>12</v>
      </c>
      <c r="P17" s="10" t="s">
        <v>96</v>
      </c>
      <c r="Q17" s="88"/>
      <c r="R17" s="10" t="s">
        <v>96</v>
      </c>
      <c r="S17" s="10" t="s">
        <v>96</v>
      </c>
      <c r="T17" s="86"/>
      <c r="U17" s="21">
        <v>1</v>
      </c>
      <c r="V17" s="10">
        <v>0.6</v>
      </c>
      <c r="W17" s="21">
        <v>0.3</v>
      </c>
      <c r="X17" s="10" t="s">
        <v>96</v>
      </c>
      <c r="Y17" s="21">
        <v>3</v>
      </c>
      <c r="Z17" s="21">
        <v>1.9</v>
      </c>
      <c r="AA17" s="10">
        <v>2</v>
      </c>
      <c r="AB17" s="10" t="s">
        <v>102</v>
      </c>
      <c r="AC17" s="10" t="s">
        <v>96</v>
      </c>
      <c r="AD17" s="10" t="s">
        <v>105</v>
      </c>
      <c r="AE17" s="10" t="s">
        <v>109</v>
      </c>
      <c r="AF17" s="20">
        <f t="shared" si="8"/>
        <v>3.1666666666666665</v>
      </c>
      <c r="AG17" s="13">
        <f t="shared" si="1"/>
        <v>0</v>
      </c>
      <c r="AH17" s="7">
        <f t="shared" si="2"/>
        <v>10</v>
      </c>
      <c r="AI17" s="7">
        <f t="shared" si="3"/>
        <v>10</v>
      </c>
      <c r="AJ17" s="7">
        <f t="shared" si="4"/>
        <v>10</v>
      </c>
      <c r="AK17" s="7">
        <f t="shared" si="5"/>
        <v>6</v>
      </c>
      <c r="AL17" s="12">
        <f t="shared" si="9"/>
        <v>36</v>
      </c>
      <c r="AM17" s="14" t="str">
        <f t="shared" si="7"/>
        <v>Barrier</v>
      </c>
      <c r="AP17" s="10" t="s">
        <v>127</v>
      </c>
    </row>
    <row r="18" spans="1:42" ht="30" x14ac:dyDescent="0.25">
      <c r="A18" s="59">
        <v>44811</v>
      </c>
      <c r="C18" s="10">
        <v>8301747</v>
      </c>
      <c r="D18" s="10" t="s">
        <v>93</v>
      </c>
      <c r="E18" s="11">
        <v>9</v>
      </c>
      <c r="F18" s="39">
        <v>563272.94649999996</v>
      </c>
      <c r="G18" s="39">
        <v>6170770.1799999997</v>
      </c>
      <c r="H18" s="11" t="s">
        <v>129</v>
      </c>
      <c r="I18" s="11" t="s">
        <v>128</v>
      </c>
      <c r="L18" s="10" t="s">
        <v>98</v>
      </c>
      <c r="M18" s="10" t="s">
        <v>104</v>
      </c>
      <c r="N18" s="21">
        <v>1.2</v>
      </c>
      <c r="O18" s="21">
        <v>13</v>
      </c>
      <c r="P18" s="10" t="s">
        <v>96</v>
      </c>
      <c r="Q18" s="86"/>
      <c r="R18" s="10" t="s">
        <v>96</v>
      </c>
      <c r="S18" s="10" t="s">
        <v>96</v>
      </c>
      <c r="T18" s="88"/>
      <c r="U18" s="21">
        <v>5</v>
      </c>
      <c r="V18" s="10">
        <v>0.7</v>
      </c>
      <c r="W18" s="21">
        <v>0.6</v>
      </c>
      <c r="X18" s="10" t="s">
        <v>96</v>
      </c>
      <c r="Y18" s="21">
        <v>3</v>
      </c>
      <c r="Z18" s="21">
        <v>1.8</v>
      </c>
      <c r="AA18" s="10">
        <v>20</v>
      </c>
      <c r="AB18" s="10" t="s">
        <v>102</v>
      </c>
      <c r="AC18" s="10" t="s">
        <v>96</v>
      </c>
      <c r="AD18" s="10" t="s">
        <v>105</v>
      </c>
      <c r="AE18" s="10" t="s">
        <v>109</v>
      </c>
      <c r="AF18" s="20">
        <f t="shared" si="8"/>
        <v>1.5</v>
      </c>
      <c r="AG18" s="13">
        <f t="shared" si="1"/>
        <v>0</v>
      </c>
      <c r="AH18" s="7">
        <f t="shared" si="2"/>
        <v>10</v>
      </c>
      <c r="AI18" s="7">
        <f t="shared" si="3"/>
        <v>10</v>
      </c>
      <c r="AJ18" s="7">
        <f t="shared" si="4"/>
        <v>10</v>
      </c>
      <c r="AK18" s="7">
        <f t="shared" si="5"/>
        <v>6</v>
      </c>
      <c r="AL18" s="12">
        <f t="shared" si="9"/>
        <v>36</v>
      </c>
      <c r="AM18" s="14" t="str">
        <f t="shared" si="7"/>
        <v>Barrier</v>
      </c>
      <c r="AP18" s="10" t="s">
        <v>130</v>
      </c>
    </row>
    <row r="19" spans="1:42" ht="30" x14ac:dyDescent="0.25">
      <c r="A19" s="59">
        <v>44811</v>
      </c>
      <c r="C19" s="10">
        <v>8301750</v>
      </c>
      <c r="D19" s="10" t="s">
        <v>93</v>
      </c>
      <c r="E19" s="11">
        <v>9</v>
      </c>
      <c r="F19" s="39">
        <v>563429.41749999998</v>
      </c>
      <c r="G19" s="39">
        <v>6170437.2060000002</v>
      </c>
      <c r="H19" s="11" t="s">
        <v>129</v>
      </c>
      <c r="I19" s="11" t="s">
        <v>128</v>
      </c>
      <c r="J19" s="33">
        <v>15.1</v>
      </c>
      <c r="L19" s="10" t="s">
        <v>98</v>
      </c>
      <c r="M19" s="10" t="s">
        <v>104</v>
      </c>
      <c r="N19" s="21">
        <v>1.2</v>
      </c>
      <c r="O19" s="21">
        <v>14</v>
      </c>
      <c r="P19" s="10" t="s">
        <v>96</v>
      </c>
      <c r="Q19" s="86"/>
      <c r="R19" s="10" t="s">
        <v>96</v>
      </c>
      <c r="S19" s="10" t="s">
        <v>96</v>
      </c>
      <c r="T19" s="88"/>
      <c r="U19" s="21">
        <v>2.5</v>
      </c>
      <c r="V19" s="10">
        <v>0</v>
      </c>
      <c r="W19" s="21">
        <v>0.6</v>
      </c>
      <c r="X19" s="10" t="s">
        <v>102</v>
      </c>
      <c r="Y19" s="21">
        <v>1</v>
      </c>
      <c r="Z19" s="21">
        <v>1.9</v>
      </c>
      <c r="AA19" s="10">
        <v>2.5</v>
      </c>
      <c r="AB19" s="10" t="s">
        <v>96</v>
      </c>
      <c r="AC19" s="10" t="s">
        <v>96</v>
      </c>
      <c r="AD19" s="10" t="s">
        <v>105</v>
      </c>
      <c r="AE19" s="10" t="s">
        <v>106</v>
      </c>
      <c r="AF19" s="20">
        <f t="shared" si="8"/>
        <v>1.5833333333333333</v>
      </c>
      <c r="AG19" s="13">
        <f t="shared" si="1"/>
        <v>0</v>
      </c>
      <c r="AH19" s="7">
        <f t="shared" si="2"/>
        <v>10</v>
      </c>
      <c r="AI19" s="7">
        <f t="shared" si="3"/>
        <v>0</v>
      </c>
      <c r="AJ19" s="7">
        <f t="shared" si="4"/>
        <v>5</v>
      </c>
      <c r="AK19" s="7">
        <f t="shared" si="5"/>
        <v>6</v>
      </c>
      <c r="AL19" s="12">
        <f t="shared" si="9"/>
        <v>21</v>
      </c>
      <c r="AM19" s="14" t="str">
        <f t="shared" si="7"/>
        <v>Barrier</v>
      </c>
      <c r="AP19" s="10" t="s">
        <v>131</v>
      </c>
    </row>
    <row r="20" spans="1:42" ht="30" x14ac:dyDescent="0.25">
      <c r="A20" s="59">
        <v>44811</v>
      </c>
      <c r="C20" s="10">
        <v>8301761</v>
      </c>
      <c r="D20" s="10" t="s">
        <v>93</v>
      </c>
      <c r="E20" s="11">
        <v>9</v>
      </c>
      <c r="F20" s="39">
        <v>563960.53220000002</v>
      </c>
      <c r="G20" s="39">
        <v>6165290.9079999998</v>
      </c>
      <c r="H20" s="11" t="s">
        <v>129</v>
      </c>
      <c r="I20" s="11" t="s">
        <v>128</v>
      </c>
      <c r="J20" s="33"/>
      <c r="L20" s="10" t="s">
        <v>98</v>
      </c>
      <c r="M20" s="10" t="s">
        <v>104</v>
      </c>
      <c r="N20" s="21">
        <v>0.65</v>
      </c>
      <c r="O20" s="21">
        <v>10</v>
      </c>
      <c r="P20" s="10" t="s">
        <v>96</v>
      </c>
      <c r="Q20" s="86"/>
      <c r="R20" s="10" t="s">
        <v>96</v>
      </c>
      <c r="S20" s="10" t="s">
        <v>96</v>
      </c>
      <c r="T20" s="86"/>
      <c r="U20" s="10">
        <v>0.5</v>
      </c>
      <c r="V20" s="10">
        <v>0.6</v>
      </c>
      <c r="W20" s="10">
        <v>0.2</v>
      </c>
      <c r="X20" s="10" t="s">
        <v>102</v>
      </c>
      <c r="Y20" s="10">
        <v>4</v>
      </c>
      <c r="Z20" s="10">
        <v>1.5</v>
      </c>
      <c r="AA20" s="10">
        <v>10</v>
      </c>
      <c r="AB20" s="10" t="s">
        <v>96</v>
      </c>
      <c r="AC20" s="10" t="s">
        <v>96</v>
      </c>
      <c r="AD20" s="10" t="s">
        <v>105</v>
      </c>
      <c r="AE20" s="10" t="s">
        <v>109</v>
      </c>
      <c r="AF20" s="20">
        <f t="shared" si="8"/>
        <v>2.3076923076923075</v>
      </c>
      <c r="AG20" s="13">
        <f t="shared" si="1"/>
        <v>0</v>
      </c>
      <c r="AH20" s="7">
        <f t="shared" si="2"/>
        <v>10</v>
      </c>
      <c r="AI20" s="7">
        <f t="shared" si="3"/>
        <v>10</v>
      </c>
      <c r="AJ20" s="7">
        <f t="shared" si="4"/>
        <v>10</v>
      </c>
      <c r="AK20" s="7">
        <f t="shared" si="5"/>
        <v>6</v>
      </c>
      <c r="AL20" s="12">
        <f t="shared" si="9"/>
        <v>36</v>
      </c>
      <c r="AM20" s="14" t="str">
        <f t="shared" si="7"/>
        <v>Barrier</v>
      </c>
      <c r="AO20" s="10"/>
      <c r="AP20" s="10" t="s">
        <v>132</v>
      </c>
    </row>
    <row r="21" spans="1:42" x14ac:dyDescent="0.25">
      <c r="A21" s="59">
        <v>44812</v>
      </c>
      <c r="C21" s="10">
        <v>8300186</v>
      </c>
      <c r="D21" s="10" t="s">
        <v>93</v>
      </c>
      <c r="E21" s="10">
        <v>9</v>
      </c>
      <c r="F21" s="21">
        <v>581810.45550000004</v>
      </c>
      <c r="G21" s="21">
        <v>6137777.7019999996</v>
      </c>
      <c r="H21" s="10" t="s">
        <v>100</v>
      </c>
      <c r="I21" s="10" t="s">
        <v>133</v>
      </c>
      <c r="J21" s="33">
        <v>3.9</v>
      </c>
      <c r="K21" s="10"/>
      <c r="L21" s="10" t="s">
        <v>98</v>
      </c>
      <c r="M21" s="10" t="s">
        <v>104</v>
      </c>
      <c r="N21" s="21">
        <v>0.9</v>
      </c>
      <c r="O21" s="21">
        <v>21</v>
      </c>
      <c r="P21" s="10" t="s">
        <v>96</v>
      </c>
      <c r="Q21" s="88"/>
      <c r="R21" s="10" t="s">
        <v>96</v>
      </c>
      <c r="S21" s="10" t="s">
        <v>96</v>
      </c>
      <c r="T21" s="88"/>
      <c r="U21" s="21">
        <v>1.5</v>
      </c>
      <c r="V21" s="10">
        <v>1.6</v>
      </c>
      <c r="W21" s="21">
        <v>0.1</v>
      </c>
      <c r="X21" s="10" t="s">
        <v>102</v>
      </c>
      <c r="Y21" s="21">
        <v>3.5</v>
      </c>
      <c r="Z21" s="21">
        <v>2.4</v>
      </c>
      <c r="AA21" s="10">
        <v>12</v>
      </c>
      <c r="AB21" s="10" t="s">
        <v>96</v>
      </c>
      <c r="AC21" s="10" t="s">
        <v>96</v>
      </c>
      <c r="AD21" s="10" t="s">
        <v>105</v>
      </c>
      <c r="AE21" s="10" t="s">
        <v>109</v>
      </c>
      <c r="AF21" s="20">
        <f t="shared" si="8"/>
        <v>2.6666666666666665</v>
      </c>
      <c r="AG21" s="13">
        <f t="shared" si="1"/>
        <v>3</v>
      </c>
      <c r="AH21" s="7">
        <f t="shared" si="2"/>
        <v>10</v>
      </c>
      <c r="AI21" s="7">
        <f t="shared" si="3"/>
        <v>10</v>
      </c>
      <c r="AJ21" s="7">
        <f t="shared" si="4"/>
        <v>10</v>
      </c>
      <c r="AK21" s="7">
        <f t="shared" si="5"/>
        <v>6</v>
      </c>
      <c r="AL21" s="12">
        <f t="shared" si="9"/>
        <v>39</v>
      </c>
      <c r="AM21" s="14" t="str">
        <f t="shared" si="7"/>
        <v>Barrier</v>
      </c>
      <c r="AP21" s="10" t="s">
        <v>134</v>
      </c>
    </row>
    <row r="22" spans="1:42" x14ac:dyDescent="0.25">
      <c r="A22" s="59">
        <v>44812</v>
      </c>
      <c r="C22" s="10">
        <v>8300105</v>
      </c>
      <c r="D22" s="10" t="s">
        <v>93</v>
      </c>
      <c r="E22" s="11">
        <v>9</v>
      </c>
      <c r="F22" s="39">
        <v>578249.7291</v>
      </c>
      <c r="G22" s="39">
        <v>6150754.466</v>
      </c>
      <c r="H22" s="10" t="s">
        <v>100</v>
      </c>
      <c r="I22" s="11" t="s">
        <v>120</v>
      </c>
      <c r="L22" s="10" t="s">
        <v>98</v>
      </c>
      <c r="M22" s="10" t="s">
        <v>104</v>
      </c>
      <c r="N22" s="21">
        <v>0.9</v>
      </c>
      <c r="O22" s="21">
        <v>8.5</v>
      </c>
      <c r="P22" s="10" t="s">
        <v>96</v>
      </c>
      <c r="Q22" s="88"/>
      <c r="R22" s="10" t="s">
        <v>96</v>
      </c>
      <c r="S22" s="10" t="s">
        <v>96</v>
      </c>
      <c r="T22" s="88"/>
      <c r="U22" s="21">
        <v>0.3</v>
      </c>
      <c r="V22" s="10">
        <v>0.6</v>
      </c>
      <c r="W22" s="21">
        <v>0.4</v>
      </c>
      <c r="X22" s="10" t="s">
        <v>96</v>
      </c>
      <c r="Y22" s="21">
        <v>1</v>
      </c>
      <c r="Z22" s="21">
        <v>1.8</v>
      </c>
      <c r="AA22" s="10">
        <v>2</v>
      </c>
      <c r="AB22" s="10" t="s">
        <v>96</v>
      </c>
      <c r="AC22" s="10" t="s">
        <v>96</v>
      </c>
      <c r="AD22" s="10" t="s">
        <v>105</v>
      </c>
      <c r="AE22" s="10" t="s">
        <v>109</v>
      </c>
      <c r="AF22" s="20">
        <f t="shared" si="8"/>
        <v>2</v>
      </c>
      <c r="AG22" s="13">
        <f t="shared" si="1"/>
        <v>0</v>
      </c>
      <c r="AH22" s="7">
        <f t="shared" si="2"/>
        <v>10</v>
      </c>
      <c r="AI22" s="7">
        <f t="shared" si="3"/>
        <v>10</v>
      </c>
      <c r="AJ22" s="7">
        <f t="shared" si="4"/>
        <v>5</v>
      </c>
      <c r="AK22" s="7">
        <f t="shared" si="5"/>
        <v>6</v>
      </c>
      <c r="AL22" s="12">
        <f t="shared" si="9"/>
        <v>31</v>
      </c>
      <c r="AM22" s="14" t="str">
        <f t="shared" si="7"/>
        <v>Barrier</v>
      </c>
      <c r="AP22" s="10" t="s">
        <v>135</v>
      </c>
    </row>
    <row r="23" spans="1:42" x14ac:dyDescent="0.25">
      <c r="A23" s="59">
        <v>44812</v>
      </c>
      <c r="C23" s="10">
        <v>8300104</v>
      </c>
      <c r="D23" s="10" t="s">
        <v>93</v>
      </c>
      <c r="E23" s="11">
        <v>9</v>
      </c>
      <c r="F23" s="39">
        <v>579148.46010000003</v>
      </c>
      <c r="G23" s="39">
        <v>6149784.1529999999</v>
      </c>
      <c r="H23" s="10" t="s">
        <v>100</v>
      </c>
      <c r="I23" s="11" t="s">
        <v>120</v>
      </c>
      <c r="L23" s="10" t="s">
        <v>98</v>
      </c>
      <c r="M23" s="10" t="s">
        <v>104</v>
      </c>
      <c r="N23" s="21">
        <v>0.8</v>
      </c>
      <c r="O23" s="21">
        <v>15</v>
      </c>
      <c r="P23" s="10" t="s">
        <v>96</v>
      </c>
      <c r="Q23" s="88"/>
      <c r="R23" s="10" t="s">
        <v>96</v>
      </c>
      <c r="S23" s="10" t="s">
        <v>102</v>
      </c>
      <c r="T23" s="21">
        <v>100</v>
      </c>
      <c r="U23" s="21">
        <v>2</v>
      </c>
      <c r="V23" s="10">
        <v>0</v>
      </c>
      <c r="W23" s="21">
        <v>0.2</v>
      </c>
      <c r="X23" s="10" t="s">
        <v>96</v>
      </c>
      <c r="Y23" s="21">
        <v>0.5</v>
      </c>
      <c r="Z23" s="21">
        <v>1.2</v>
      </c>
      <c r="AA23" s="10">
        <v>1</v>
      </c>
      <c r="AB23" s="10" t="s">
        <v>96</v>
      </c>
      <c r="AC23" s="10" t="s">
        <v>96</v>
      </c>
      <c r="AD23" s="10" t="s">
        <v>105</v>
      </c>
      <c r="AE23" s="10" t="s">
        <v>109</v>
      </c>
      <c r="AF23" s="20">
        <f t="shared" si="8"/>
        <v>1.4999999999999998</v>
      </c>
      <c r="AG23" s="13">
        <f t="shared" si="1"/>
        <v>3</v>
      </c>
      <c r="AH23" s="7">
        <f t="shared" si="2"/>
        <v>10</v>
      </c>
      <c r="AI23" s="7">
        <f t="shared" si="3"/>
        <v>0</v>
      </c>
      <c r="AJ23" s="7">
        <f t="shared" si="4"/>
        <v>0</v>
      </c>
      <c r="AK23" s="7">
        <f t="shared" si="5"/>
        <v>6</v>
      </c>
      <c r="AL23" s="12">
        <f t="shared" si="9"/>
        <v>19</v>
      </c>
      <c r="AM23" s="14" t="str">
        <f t="shared" si="7"/>
        <v>Potential</v>
      </c>
      <c r="AP23" s="10" t="s">
        <v>136</v>
      </c>
    </row>
    <row r="24" spans="1:42" x14ac:dyDescent="0.25">
      <c r="A24" s="59">
        <v>44812</v>
      </c>
      <c r="C24" s="10">
        <v>8300103</v>
      </c>
      <c r="D24" s="10" t="s">
        <v>93</v>
      </c>
      <c r="E24" s="11">
        <v>9</v>
      </c>
      <c r="F24" s="39">
        <v>580494.92260000005</v>
      </c>
      <c r="G24" s="39">
        <v>6146060.8380000005</v>
      </c>
      <c r="H24" s="10" t="s">
        <v>100</v>
      </c>
      <c r="I24" s="11" t="s">
        <v>120</v>
      </c>
      <c r="L24" s="10" t="s">
        <v>98</v>
      </c>
      <c r="M24" s="10" t="s">
        <v>104</v>
      </c>
      <c r="N24" s="21">
        <v>0.6</v>
      </c>
      <c r="O24" s="21">
        <v>13</v>
      </c>
      <c r="P24" s="10" t="s">
        <v>96</v>
      </c>
      <c r="Q24" s="88"/>
      <c r="R24" s="10" t="s">
        <v>96</v>
      </c>
      <c r="S24" s="10" t="s">
        <v>96</v>
      </c>
      <c r="T24" s="88"/>
      <c r="U24" s="21">
        <v>2</v>
      </c>
      <c r="V24" s="10">
        <v>0</v>
      </c>
      <c r="W24" s="21">
        <v>0</v>
      </c>
      <c r="X24" s="10" t="s">
        <v>96</v>
      </c>
      <c r="Y24" s="21">
        <v>1</v>
      </c>
      <c r="Z24" s="21">
        <v>1.4</v>
      </c>
      <c r="AA24" s="10">
        <v>2</v>
      </c>
      <c r="AB24" s="10" t="s">
        <v>96</v>
      </c>
      <c r="AC24" s="10" t="s">
        <v>96</v>
      </c>
      <c r="AD24" s="10" t="s">
        <v>105</v>
      </c>
      <c r="AE24" s="10" t="s">
        <v>109</v>
      </c>
      <c r="AF24" s="20">
        <f t="shared" si="8"/>
        <v>2.3333333333333335</v>
      </c>
      <c r="AG24" s="13">
        <f t="shared" si="1"/>
        <v>0</v>
      </c>
      <c r="AH24" s="7">
        <f t="shared" si="2"/>
        <v>10</v>
      </c>
      <c r="AI24" s="7">
        <f t="shared" si="3"/>
        <v>0</v>
      </c>
      <c r="AJ24" s="7">
        <f t="shared" si="4"/>
        <v>5</v>
      </c>
      <c r="AK24" s="7">
        <f t="shared" si="5"/>
        <v>6</v>
      </c>
      <c r="AL24" s="12">
        <f t="shared" si="9"/>
        <v>21</v>
      </c>
      <c r="AM24" s="14" t="str">
        <f t="shared" si="7"/>
        <v>Barrier</v>
      </c>
      <c r="AP24" s="10" t="s">
        <v>137</v>
      </c>
    </row>
    <row r="25" spans="1:42" ht="30" x14ac:dyDescent="0.25">
      <c r="A25" s="59">
        <v>44813</v>
      </c>
      <c r="C25" s="10">
        <v>8300012</v>
      </c>
      <c r="D25" s="10" t="s">
        <v>93</v>
      </c>
      <c r="E25" s="11">
        <v>9</v>
      </c>
      <c r="F25" s="39">
        <v>563541.58660000004</v>
      </c>
      <c r="G25" s="39">
        <v>6109764.7000000002</v>
      </c>
      <c r="H25" s="11" t="s">
        <v>139</v>
      </c>
      <c r="I25" s="11" t="s">
        <v>138</v>
      </c>
      <c r="L25" s="10" t="s">
        <v>98</v>
      </c>
      <c r="M25" s="10" t="s">
        <v>104</v>
      </c>
      <c r="N25" s="21">
        <v>2.8</v>
      </c>
      <c r="O25" s="21">
        <v>10</v>
      </c>
      <c r="P25" s="10" t="s">
        <v>102</v>
      </c>
      <c r="Q25" s="21">
        <v>0.22</v>
      </c>
      <c r="R25" s="10" t="s">
        <v>102</v>
      </c>
      <c r="S25" s="10" t="s">
        <v>96</v>
      </c>
      <c r="T25" s="88"/>
      <c r="U25" s="21">
        <v>1</v>
      </c>
      <c r="V25" s="10">
        <v>0.1</v>
      </c>
      <c r="W25" s="21">
        <v>0.1</v>
      </c>
      <c r="X25" s="10" t="s">
        <v>96</v>
      </c>
      <c r="Y25" s="21">
        <v>0</v>
      </c>
      <c r="Z25" s="21">
        <v>4.3</v>
      </c>
      <c r="AA25" s="10">
        <v>2</v>
      </c>
      <c r="AB25" s="10" t="s">
        <v>96</v>
      </c>
      <c r="AC25" s="10" t="s">
        <v>102</v>
      </c>
      <c r="AD25" s="10" t="s">
        <v>105</v>
      </c>
      <c r="AE25" s="10" t="s">
        <v>140</v>
      </c>
      <c r="AF25" s="20">
        <f t="shared" si="8"/>
        <v>1.5357142857142858</v>
      </c>
      <c r="AG25" s="13">
        <f t="shared" si="1"/>
        <v>0</v>
      </c>
      <c r="AH25" s="7">
        <f t="shared" si="2"/>
        <v>5</v>
      </c>
      <c r="AI25" s="7">
        <f t="shared" si="3"/>
        <v>0</v>
      </c>
      <c r="AJ25" s="7">
        <f t="shared" si="4"/>
        <v>0</v>
      </c>
      <c r="AK25" s="7">
        <f t="shared" si="5"/>
        <v>6</v>
      </c>
      <c r="AL25" s="12">
        <f t="shared" si="9"/>
        <v>11</v>
      </c>
      <c r="AM25" s="14" t="str">
        <f t="shared" si="7"/>
        <v>Passable</v>
      </c>
      <c r="AN25" s="86"/>
      <c r="AO25" s="88"/>
      <c r="AP25" s="10" t="s">
        <v>141</v>
      </c>
    </row>
    <row r="26" spans="1:42" ht="30" x14ac:dyDescent="0.25">
      <c r="A26" s="59">
        <v>44813</v>
      </c>
      <c r="C26" s="10">
        <v>8300917</v>
      </c>
      <c r="D26" s="10" t="s">
        <v>93</v>
      </c>
      <c r="E26" s="11">
        <v>9</v>
      </c>
      <c r="F26" s="39">
        <v>563869.17090000003</v>
      </c>
      <c r="G26" s="39">
        <v>6109781.034</v>
      </c>
      <c r="H26" s="11" t="s">
        <v>139</v>
      </c>
      <c r="I26" s="11" t="s">
        <v>138</v>
      </c>
      <c r="L26" s="10" t="s">
        <v>98</v>
      </c>
      <c r="M26" s="10" t="s">
        <v>104</v>
      </c>
      <c r="N26" s="21">
        <v>1.6</v>
      </c>
      <c r="O26" s="21">
        <v>7.5</v>
      </c>
      <c r="P26" s="10" t="s">
        <v>102</v>
      </c>
      <c r="Q26" s="21">
        <v>0.38</v>
      </c>
      <c r="R26" s="10" t="s">
        <v>102</v>
      </c>
      <c r="S26" s="10" t="s">
        <v>96</v>
      </c>
      <c r="T26" s="88"/>
      <c r="U26" s="21">
        <v>0.7</v>
      </c>
      <c r="V26" s="10">
        <v>0</v>
      </c>
      <c r="W26" s="21">
        <v>0.2</v>
      </c>
      <c r="X26" s="10" t="s">
        <v>96</v>
      </c>
      <c r="Y26" s="21">
        <v>1.5</v>
      </c>
      <c r="Z26" s="21">
        <v>2.1</v>
      </c>
      <c r="AA26" s="10">
        <v>1</v>
      </c>
      <c r="AB26" s="10" t="s">
        <v>96</v>
      </c>
      <c r="AC26" s="10" t="s">
        <v>102</v>
      </c>
      <c r="AD26" s="10" t="s">
        <v>105</v>
      </c>
      <c r="AE26" s="10" t="s">
        <v>140</v>
      </c>
      <c r="AF26" s="20">
        <f t="shared" si="8"/>
        <v>1.3125</v>
      </c>
      <c r="AG26" s="13">
        <f t="shared" si="1"/>
        <v>0</v>
      </c>
      <c r="AH26" s="7">
        <f t="shared" si="2"/>
        <v>0</v>
      </c>
      <c r="AI26" s="7">
        <f t="shared" si="3"/>
        <v>0</v>
      </c>
      <c r="AJ26" s="7">
        <f t="shared" si="4"/>
        <v>5</v>
      </c>
      <c r="AK26" s="7">
        <f t="shared" si="5"/>
        <v>6</v>
      </c>
      <c r="AL26" s="12">
        <f t="shared" si="9"/>
        <v>11</v>
      </c>
      <c r="AM26" s="14" t="str">
        <f t="shared" si="7"/>
        <v>Passable</v>
      </c>
      <c r="AN26" s="86"/>
      <c r="AO26" s="88"/>
      <c r="AP26" s="10" t="s">
        <v>142</v>
      </c>
    </row>
    <row r="27" spans="1:42" ht="30" x14ac:dyDescent="0.25">
      <c r="A27" s="59">
        <v>44813</v>
      </c>
      <c r="C27" s="10">
        <v>8300188</v>
      </c>
      <c r="D27" s="10" t="s">
        <v>93</v>
      </c>
      <c r="E27" s="11">
        <v>9</v>
      </c>
      <c r="F27" s="39">
        <v>558317.00749999995</v>
      </c>
      <c r="G27" s="39">
        <v>6127315.8250000002</v>
      </c>
      <c r="H27" s="11" t="s">
        <v>139</v>
      </c>
      <c r="I27" s="11" t="s">
        <v>143</v>
      </c>
      <c r="L27" s="10" t="s">
        <v>98</v>
      </c>
      <c r="M27" s="10" t="s">
        <v>104</v>
      </c>
      <c r="N27" s="21">
        <v>1.2</v>
      </c>
      <c r="O27" s="21">
        <v>14</v>
      </c>
      <c r="P27" s="10" t="s">
        <v>102</v>
      </c>
      <c r="Q27" s="21">
        <v>0.25</v>
      </c>
      <c r="R27" s="10" t="s">
        <v>102</v>
      </c>
      <c r="S27" s="10" t="s">
        <v>102</v>
      </c>
      <c r="T27" s="21">
        <v>100</v>
      </c>
      <c r="U27" s="21">
        <v>1.5</v>
      </c>
      <c r="V27" s="10">
        <v>0.1</v>
      </c>
      <c r="W27" s="21">
        <v>0.15</v>
      </c>
      <c r="X27" s="10" t="s">
        <v>96</v>
      </c>
      <c r="Y27" s="21">
        <v>1</v>
      </c>
      <c r="Z27" s="21">
        <v>1.8</v>
      </c>
      <c r="AA27" s="10">
        <v>2</v>
      </c>
      <c r="AB27" s="10" t="s">
        <v>96</v>
      </c>
      <c r="AC27" s="10" t="s">
        <v>96</v>
      </c>
      <c r="AD27" s="10" t="s">
        <v>105</v>
      </c>
      <c r="AE27" s="10" t="s">
        <v>109</v>
      </c>
      <c r="AF27" s="20">
        <f t="shared" si="8"/>
        <v>1.5</v>
      </c>
      <c r="AG27" s="13">
        <f t="shared" si="1"/>
        <v>0</v>
      </c>
      <c r="AH27" s="7">
        <f t="shared" si="2"/>
        <v>5</v>
      </c>
      <c r="AI27" s="7">
        <f t="shared" si="3"/>
        <v>0</v>
      </c>
      <c r="AJ27" s="7">
        <f t="shared" si="4"/>
        <v>5</v>
      </c>
      <c r="AK27" s="7">
        <f t="shared" si="5"/>
        <v>6</v>
      </c>
      <c r="AL27" s="12">
        <f t="shared" si="9"/>
        <v>16</v>
      </c>
      <c r="AM27" s="14" t="str">
        <f t="shared" si="7"/>
        <v>Potential</v>
      </c>
      <c r="AP27" s="10" t="s">
        <v>144</v>
      </c>
    </row>
    <row r="28" spans="1:42" ht="30" x14ac:dyDescent="0.25">
      <c r="A28" s="59">
        <v>44813</v>
      </c>
      <c r="C28" s="10">
        <v>8300465</v>
      </c>
      <c r="D28" s="10" t="s">
        <v>93</v>
      </c>
      <c r="E28" s="11">
        <v>9</v>
      </c>
      <c r="F28" s="39">
        <v>549761.10600000003</v>
      </c>
      <c r="G28" s="39">
        <v>6140313.0930000003</v>
      </c>
      <c r="H28" s="11" t="s">
        <v>139</v>
      </c>
      <c r="I28" s="11" t="s">
        <v>145</v>
      </c>
      <c r="L28" s="10" t="s">
        <v>98</v>
      </c>
      <c r="M28" s="10" t="s">
        <v>104</v>
      </c>
      <c r="N28" s="21">
        <v>0.8</v>
      </c>
      <c r="O28" s="21">
        <v>11</v>
      </c>
      <c r="P28" s="10" t="s">
        <v>96</v>
      </c>
      <c r="Q28" s="88"/>
      <c r="R28" s="10" t="s">
        <v>96</v>
      </c>
      <c r="S28" s="10" t="s">
        <v>96</v>
      </c>
      <c r="T28" s="88"/>
      <c r="U28" s="21">
        <v>1.2</v>
      </c>
      <c r="V28" s="10">
        <v>0</v>
      </c>
      <c r="W28" s="21">
        <v>0.2</v>
      </c>
      <c r="X28" s="10" t="s">
        <v>96</v>
      </c>
      <c r="Y28" s="21">
        <v>0.5</v>
      </c>
      <c r="Z28" s="21">
        <v>1.7</v>
      </c>
      <c r="AA28" s="10">
        <v>3.5</v>
      </c>
      <c r="AB28" s="10" t="s">
        <v>96</v>
      </c>
      <c r="AC28" s="10" t="s">
        <v>96</v>
      </c>
      <c r="AD28" s="10" t="s">
        <v>105</v>
      </c>
      <c r="AE28" s="10" t="s">
        <v>106</v>
      </c>
      <c r="AF28" s="20">
        <f t="shared" si="8"/>
        <v>2.125</v>
      </c>
      <c r="AG28" s="13">
        <f t="shared" si="1"/>
        <v>0</v>
      </c>
      <c r="AH28" s="7">
        <f t="shared" si="2"/>
        <v>10</v>
      </c>
      <c r="AI28" s="7">
        <f t="shared" si="3"/>
        <v>0</v>
      </c>
      <c r="AJ28" s="7">
        <f t="shared" si="4"/>
        <v>0</v>
      </c>
      <c r="AK28" s="7">
        <f t="shared" si="5"/>
        <v>6</v>
      </c>
      <c r="AL28" s="12">
        <f t="shared" si="9"/>
        <v>16</v>
      </c>
      <c r="AM28" s="14" t="str">
        <f t="shared" si="7"/>
        <v>Potential</v>
      </c>
      <c r="AP28" s="10" t="s">
        <v>146</v>
      </c>
    </row>
    <row r="29" spans="1:42" ht="30" x14ac:dyDescent="0.25">
      <c r="A29" s="59">
        <v>44809</v>
      </c>
      <c r="C29" s="10">
        <v>8302421</v>
      </c>
      <c r="D29" s="10" t="s">
        <v>148</v>
      </c>
      <c r="E29" s="11">
        <v>9</v>
      </c>
      <c r="F29" s="39">
        <v>567222.22530000005</v>
      </c>
      <c r="G29" s="39">
        <v>6154119.9369999999</v>
      </c>
      <c r="H29" s="11" t="s">
        <v>100</v>
      </c>
      <c r="I29" s="11" t="s">
        <v>147</v>
      </c>
      <c r="L29" s="10" t="s">
        <v>98</v>
      </c>
      <c r="M29" s="10" t="s">
        <v>104</v>
      </c>
      <c r="N29" s="21">
        <v>1</v>
      </c>
      <c r="O29" s="21">
        <v>10</v>
      </c>
      <c r="P29" s="10" t="s">
        <v>96</v>
      </c>
      <c r="Q29" s="88"/>
      <c r="R29" s="10" t="s">
        <v>96</v>
      </c>
      <c r="S29" s="10" t="s">
        <v>102</v>
      </c>
      <c r="T29" s="21">
        <v>100</v>
      </c>
      <c r="U29" s="21">
        <v>0.5</v>
      </c>
      <c r="V29" s="10">
        <v>0</v>
      </c>
      <c r="W29" s="21">
        <v>1</v>
      </c>
      <c r="X29" s="10" t="s">
        <v>96</v>
      </c>
      <c r="Y29" s="21">
        <v>0</v>
      </c>
      <c r="Z29" s="21">
        <v>15</v>
      </c>
      <c r="AA29" s="10">
        <v>0</v>
      </c>
      <c r="AB29" s="10" t="s">
        <v>102</v>
      </c>
      <c r="AC29" s="10" t="s">
        <v>96</v>
      </c>
      <c r="AD29" s="10" t="s">
        <v>105</v>
      </c>
      <c r="AE29" s="10" t="s">
        <v>109</v>
      </c>
      <c r="AF29" s="20">
        <f t="shared" si="8"/>
        <v>15</v>
      </c>
      <c r="AG29" s="13">
        <f t="shared" si="1"/>
        <v>0</v>
      </c>
      <c r="AH29" s="7">
        <f t="shared" si="2"/>
        <v>10</v>
      </c>
      <c r="AI29" s="7">
        <f t="shared" si="3"/>
        <v>0</v>
      </c>
      <c r="AJ29" s="7">
        <f t="shared" si="4"/>
        <v>0</v>
      </c>
      <c r="AK29" s="7">
        <f t="shared" si="5"/>
        <v>6</v>
      </c>
      <c r="AL29" s="12">
        <f t="shared" si="9"/>
        <v>16</v>
      </c>
      <c r="AM29" s="14" t="str">
        <f t="shared" si="7"/>
        <v>Potential</v>
      </c>
      <c r="AP29" s="10" t="s">
        <v>149</v>
      </c>
    </row>
    <row r="30" spans="1:42" ht="30" x14ac:dyDescent="0.25">
      <c r="A30" s="59">
        <v>44809</v>
      </c>
      <c r="C30" s="10">
        <v>8302065</v>
      </c>
      <c r="D30" s="10" t="s">
        <v>148</v>
      </c>
      <c r="E30" s="11">
        <v>9</v>
      </c>
      <c r="F30" s="39">
        <v>566030.28949999996</v>
      </c>
      <c r="G30" s="39">
        <v>6153076.9699999997</v>
      </c>
      <c r="H30" s="11" t="s">
        <v>150</v>
      </c>
      <c r="I30" s="11" t="s">
        <v>151</v>
      </c>
      <c r="L30" s="10" t="s">
        <v>98</v>
      </c>
      <c r="M30" s="10" t="s">
        <v>104</v>
      </c>
      <c r="N30" s="21">
        <v>0.8</v>
      </c>
      <c r="O30" s="21">
        <v>10</v>
      </c>
      <c r="P30" s="10" t="s">
        <v>96</v>
      </c>
      <c r="Q30" s="88"/>
      <c r="R30" s="10" t="s">
        <v>96</v>
      </c>
      <c r="S30" s="10" t="s">
        <v>96</v>
      </c>
      <c r="T30" s="88"/>
      <c r="U30" s="21">
        <v>1.5</v>
      </c>
      <c r="V30" s="10">
        <v>0</v>
      </c>
      <c r="W30" s="21">
        <v>0.1</v>
      </c>
      <c r="X30" s="10" t="s">
        <v>96</v>
      </c>
      <c r="Y30" s="21">
        <v>3</v>
      </c>
      <c r="Z30" s="21">
        <v>2.2000000000000002</v>
      </c>
      <c r="AA30" s="10">
        <v>15</v>
      </c>
      <c r="AB30" s="10" t="s">
        <v>102</v>
      </c>
      <c r="AC30" s="10" t="s">
        <v>96</v>
      </c>
      <c r="AD30" s="10" t="s">
        <v>152</v>
      </c>
      <c r="AE30" s="10" t="s">
        <v>109</v>
      </c>
      <c r="AF30" s="20">
        <f t="shared" si="8"/>
        <v>2.75</v>
      </c>
      <c r="AG30" s="13">
        <f t="shared" si="1"/>
        <v>0</v>
      </c>
      <c r="AH30" s="7">
        <f t="shared" si="2"/>
        <v>10</v>
      </c>
      <c r="AI30" s="7">
        <f t="shared" si="3"/>
        <v>0</v>
      </c>
      <c r="AJ30" s="7">
        <f t="shared" si="4"/>
        <v>10</v>
      </c>
      <c r="AK30" s="7">
        <f t="shared" si="5"/>
        <v>6</v>
      </c>
      <c r="AL30" s="12">
        <f t="shared" si="9"/>
        <v>26</v>
      </c>
      <c r="AM30" s="14" t="str">
        <f t="shared" si="7"/>
        <v>Barrier</v>
      </c>
      <c r="AP30" s="10" t="s">
        <v>153</v>
      </c>
    </row>
    <row r="31" spans="1:42" ht="30" x14ac:dyDescent="0.25">
      <c r="A31" s="59">
        <v>44809</v>
      </c>
      <c r="C31" s="10">
        <v>8300118</v>
      </c>
      <c r="D31" s="10" t="s">
        <v>148</v>
      </c>
      <c r="E31" s="11">
        <v>9</v>
      </c>
      <c r="F31" s="39">
        <v>572865.03040000005</v>
      </c>
      <c r="G31" s="39">
        <v>6149158.4119999995</v>
      </c>
      <c r="H31" s="11" t="s">
        <v>154</v>
      </c>
      <c r="I31" s="11" t="s">
        <v>155</v>
      </c>
      <c r="J31" s="22">
        <v>3.9</v>
      </c>
      <c r="L31" s="10" t="s">
        <v>98</v>
      </c>
      <c r="M31" s="10" t="s">
        <v>104</v>
      </c>
      <c r="N31" s="21">
        <v>0.65</v>
      </c>
      <c r="O31" s="21">
        <v>12</v>
      </c>
      <c r="P31" s="10" t="s">
        <v>96</v>
      </c>
      <c r="Q31" s="88"/>
      <c r="R31" s="10" t="s">
        <v>96</v>
      </c>
      <c r="S31" s="10" t="s">
        <v>96</v>
      </c>
      <c r="T31" s="88"/>
      <c r="U31" s="21">
        <v>1.5</v>
      </c>
      <c r="V31" s="10">
        <v>0</v>
      </c>
      <c r="W31" s="21">
        <v>0</v>
      </c>
      <c r="X31" s="10" t="s">
        <v>96</v>
      </c>
      <c r="Y31" s="21">
        <v>6</v>
      </c>
      <c r="Z31" s="21">
        <v>2</v>
      </c>
      <c r="AA31" s="10">
        <v>9</v>
      </c>
      <c r="AB31" s="10" t="s">
        <v>96</v>
      </c>
      <c r="AC31" s="10" t="s">
        <v>96</v>
      </c>
      <c r="AD31" s="10" t="s">
        <v>105</v>
      </c>
      <c r="AE31" s="10" t="s">
        <v>109</v>
      </c>
      <c r="AF31" s="20">
        <f t="shared" si="8"/>
        <v>3.0769230769230766</v>
      </c>
      <c r="AG31" s="13">
        <f t="shared" si="1"/>
        <v>0</v>
      </c>
      <c r="AH31" s="7">
        <f t="shared" si="2"/>
        <v>10</v>
      </c>
      <c r="AI31" s="7">
        <f t="shared" si="3"/>
        <v>0</v>
      </c>
      <c r="AJ31" s="7">
        <f t="shared" si="4"/>
        <v>10</v>
      </c>
      <c r="AK31" s="7">
        <f t="shared" si="5"/>
        <v>6</v>
      </c>
      <c r="AL31" s="12">
        <f t="shared" si="9"/>
        <v>26</v>
      </c>
      <c r="AM31" s="14" t="str">
        <f t="shared" si="7"/>
        <v>Barrier</v>
      </c>
      <c r="AP31" s="10" t="s">
        <v>156</v>
      </c>
    </row>
    <row r="32" spans="1:42" ht="30" x14ac:dyDescent="0.25">
      <c r="A32" s="59">
        <v>44809</v>
      </c>
      <c r="C32" s="10">
        <v>2022090501</v>
      </c>
      <c r="D32" s="10" t="s">
        <v>148</v>
      </c>
      <c r="E32" s="11">
        <v>9</v>
      </c>
      <c r="F32" s="39">
        <v>573065.74219999998</v>
      </c>
      <c r="G32" s="39">
        <v>6152232.0839999998</v>
      </c>
      <c r="H32" s="11" t="s">
        <v>150</v>
      </c>
      <c r="I32" s="11" t="s">
        <v>157</v>
      </c>
      <c r="K32" s="11" t="s">
        <v>158</v>
      </c>
      <c r="L32" s="10" t="s">
        <v>98</v>
      </c>
      <c r="M32" s="10" t="s">
        <v>104</v>
      </c>
      <c r="N32" s="21">
        <v>0.9</v>
      </c>
      <c r="O32" s="21">
        <v>14.5</v>
      </c>
      <c r="P32" s="10" t="s">
        <v>96</v>
      </c>
      <c r="Q32" s="88"/>
      <c r="R32" s="10" t="s">
        <v>96</v>
      </c>
      <c r="S32" s="10" t="s">
        <v>102</v>
      </c>
      <c r="T32" s="21">
        <v>50</v>
      </c>
      <c r="U32" s="21">
        <v>1.5</v>
      </c>
      <c r="V32" s="10">
        <v>0</v>
      </c>
      <c r="W32" s="21">
        <v>0.3</v>
      </c>
      <c r="X32" s="10" t="s">
        <v>102</v>
      </c>
      <c r="Y32" s="21">
        <v>1</v>
      </c>
      <c r="Z32" s="21">
        <v>2.2000000000000002</v>
      </c>
      <c r="AA32" s="10">
        <v>1</v>
      </c>
      <c r="AB32" s="10" t="s">
        <v>102</v>
      </c>
      <c r="AC32" s="10" t="s">
        <v>96</v>
      </c>
      <c r="AD32" s="10" t="s">
        <v>105</v>
      </c>
      <c r="AE32" s="10" t="s">
        <v>140</v>
      </c>
      <c r="AF32" s="20">
        <f t="shared" si="8"/>
        <v>2.4444444444444446</v>
      </c>
      <c r="AG32" s="13">
        <f t="shared" si="1"/>
        <v>0</v>
      </c>
      <c r="AH32" s="7">
        <f t="shared" si="2"/>
        <v>10</v>
      </c>
      <c r="AI32" s="7">
        <f t="shared" si="3"/>
        <v>0</v>
      </c>
      <c r="AJ32" s="7">
        <f t="shared" si="4"/>
        <v>5</v>
      </c>
      <c r="AK32" s="7">
        <f t="shared" si="5"/>
        <v>6</v>
      </c>
      <c r="AL32" s="12">
        <f t="shared" si="9"/>
        <v>21</v>
      </c>
      <c r="AM32" s="14" t="str">
        <f t="shared" si="7"/>
        <v>Barrier</v>
      </c>
      <c r="AP32" s="10" t="s">
        <v>159</v>
      </c>
    </row>
    <row r="33" spans="1:42" ht="30" x14ac:dyDescent="0.25">
      <c r="A33" s="59">
        <v>44810</v>
      </c>
      <c r="C33" s="10">
        <v>8300030</v>
      </c>
      <c r="D33" s="10" t="s">
        <v>148</v>
      </c>
      <c r="E33" s="11">
        <v>9</v>
      </c>
      <c r="F33" s="39">
        <v>545529.3469</v>
      </c>
      <c r="G33" s="39">
        <v>6170758.7470000004</v>
      </c>
      <c r="H33" s="11" t="s">
        <v>160</v>
      </c>
      <c r="I33" s="11" t="s">
        <v>120</v>
      </c>
      <c r="L33" s="10" t="s">
        <v>98</v>
      </c>
      <c r="M33" s="10" t="s">
        <v>104</v>
      </c>
      <c r="N33" s="21">
        <v>0.9</v>
      </c>
      <c r="O33" s="21">
        <v>18</v>
      </c>
      <c r="P33" s="10" t="s">
        <v>96</v>
      </c>
      <c r="Q33" s="88"/>
      <c r="R33" s="10" t="s">
        <v>96</v>
      </c>
      <c r="S33" s="10" t="s">
        <v>96</v>
      </c>
      <c r="T33" s="88"/>
      <c r="U33" s="21">
        <v>2.5</v>
      </c>
      <c r="V33" s="10">
        <v>0.4</v>
      </c>
      <c r="W33" s="21">
        <v>0.1</v>
      </c>
      <c r="X33" s="10" t="s">
        <v>102</v>
      </c>
      <c r="Y33" s="21">
        <v>2</v>
      </c>
      <c r="Z33" s="21">
        <v>0.8</v>
      </c>
      <c r="AA33" s="10">
        <v>10</v>
      </c>
      <c r="AB33" s="10" t="s">
        <v>96</v>
      </c>
      <c r="AC33" s="10" t="s">
        <v>96</v>
      </c>
      <c r="AD33" s="10" t="s">
        <v>105</v>
      </c>
      <c r="AE33" s="10" t="s">
        <v>109</v>
      </c>
      <c r="AF33" s="20">
        <f t="shared" si="8"/>
        <v>0.88888888888888895</v>
      </c>
      <c r="AG33" s="13">
        <f t="shared" si="1"/>
        <v>3</v>
      </c>
      <c r="AH33" s="7">
        <f t="shared" si="2"/>
        <v>10</v>
      </c>
      <c r="AI33" s="7">
        <f t="shared" si="3"/>
        <v>10</v>
      </c>
      <c r="AJ33" s="7">
        <f t="shared" si="4"/>
        <v>5</v>
      </c>
      <c r="AK33" s="7">
        <f t="shared" si="5"/>
        <v>0</v>
      </c>
      <c r="AL33" s="12">
        <f t="shared" si="9"/>
        <v>28</v>
      </c>
      <c r="AM33" s="14" t="str">
        <f t="shared" si="7"/>
        <v>Barrier</v>
      </c>
      <c r="AP33" s="10" t="s">
        <v>161</v>
      </c>
    </row>
    <row r="34" spans="1:42" ht="30" x14ac:dyDescent="0.25">
      <c r="A34" s="59">
        <v>44810</v>
      </c>
      <c r="C34" s="10">
        <v>8300111</v>
      </c>
      <c r="D34" s="10" t="s">
        <v>148</v>
      </c>
      <c r="E34" s="11">
        <v>9</v>
      </c>
      <c r="F34" s="39">
        <v>553817.49109999998</v>
      </c>
      <c r="G34" s="39">
        <v>6166233.2699999996</v>
      </c>
      <c r="H34" s="11" t="s">
        <v>150</v>
      </c>
      <c r="I34" s="11" t="s">
        <v>162</v>
      </c>
      <c r="L34" s="10" t="s">
        <v>98</v>
      </c>
      <c r="M34" s="10" t="s">
        <v>104</v>
      </c>
      <c r="N34" s="21">
        <v>0.9</v>
      </c>
      <c r="O34" s="21">
        <v>15</v>
      </c>
      <c r="P34" s="10" t="s">
        <v>96</v>
      </c>
      <c r="Q34" s="88"/>
      <c r="R34" s="10" t="s">
        <v>96</v>
      </c>
      <c r="S34" s="10" t="s">
        <v>96</v>
      </c>
      <c r="T34" s="88"/>
      <c r="U34" s="21">
        <v>2</v>
      </c>
      <c r="V34" s="10">
        <v>3</v>
      </c>
      <c r="W34" s="21">
        <v>0</v>
      </c>
      <c r="X34" s="10" t="s">
        <v>96</v>
      </c>
      <c r="Y34" s="21">
        <v>10</v>
      </c>
      <c r="Z34" s="21">
        <v>1.9</v>
      </c>
      <c r="AA34" s="10">
        <v>9</v>
      </c>
      <c r="AB34" s="10" t="s">
        <v>96</v>
      </c>
      <c r="AC34" s="10" t="s">
        <v>96</v>
      </c>
      <c r="AD34" s="10" t="s">
        <v>105</v>
      </c>
      <c r="AE34" s="10" t="s">
        <v>109</v>
      </c>
      <c r="AF34" s="20">
        <f t="shared" si="8"/>
        <v>2.1111111111111112</v>
      </c>
      <c r="AG34" s="13">
        <f t="shared" si="1"/>
        <v>3</v>
      </c>
      <c r="AH34" s="7">
        <f t="shared" si="2"/>
        <v>10</v>
      </c>
      <c r="AI34" s="7">
        <f t="shared" si="3"/>
        <v>10</v>
      </c>
      <c r="AJ34" s="7">
        <f t="shared" si="4"/>
        <v>10</v>
      </c>
      <c r="AK34" s="7">
        <f t="shared" si="5"/>
        <v>6</v>
      </c>
      <c r="AL34" s="12">
        <f t="shared" si="9"/>
        <v>39</v>
      </c>
      <c r="AM34" s="14" t="str">
        <f t="shared" si="7"/>
        <v>Barrier</v>
      </c>
      <c r="AP34" s="10" t="s">
        <v>163</v>
      </c>
    </row>
    <row r="35" spans="1:42" ht="30" x14ac:dyDescent="0.25">
      <c r="A35" s="59">
        <v>44810</v>
      </c>
      <c r="C35" s="10">
        <v>8302403</v>
      </c>
      <c r="D35" s="10" t="s">
        <v>148</v>
      </c>
      <c r="E35" s="11">
        <v>9</v>
      </c>
      <c r="F35" s="39">
        <v>542451.61450000003</v>
      </c>
      <c r="G35" s="39">
        <v>6168061.9859999996</v>
      </c>
      <c r="H35" s="11" t="s">
        <v>150</v>
      </c>
      <c r="I35" s="11" t="s">
        <v>164</v>
      </c>
      <c r="J35" s="22">
        <v>21</v>
      </c>
      <c r="L35" s="10" t="s">
        <v>98</v>
      </c>
      <c r="M35" s="10" t="s">
        <v>104</v>
      </c>
      <c r="N35" s="21">
        <v>1.3</v>
      </c>
      <c r="O35" s="21">
        <v>19</v>
      </c>
      <c r="P35" s="10" t="s">
        <v>102</v>
      </c>
      <c r="Q35" s="21">
        <v>0.3</v>
      </c>
      <c r="R35" s="10" t="s">
        <v>102</v>
      </c>
      <c r="S35" s="10" t="s">
        <v>96</v>
      </c>
      <c r="T35" s="88"/>
      <c r="U35" s="21">
        <v>1</v>
      </c>
      <c r="V35" s="10">
        <v>0</v>
      </c>
      <c r="W35" s="21">
        <v>0</v>
      </c>
      <c r="X35" s="10" t="s">
        <v>102</v>
      </c>
      <c r="Y35" s="21">
        <v>3.5</v>
      </c>
      <c r="Z35" s="21">
        <v>4.3</v>
      </c>
      <c r="AA35" s="10">
        <v>9</v>
      </c>
      <c r="AB35" s="10" t="s">
        <v>96</v>
      </c>
      <c r="AC35" s="10" t="s">
        <v>96</v>
      </c>
      <c r="AD35" s="10" t="s">
        <v>105</v>
      </c>
      <c r="AE35" s="10" t="s">
        <v>109</v>
      </c>
      <c r="AF35" s="20">
        <f t="shared" si="8"/>
        <v>3.3076923076923075</v>
      </c>
      <c r="AG35" s="13">
        <f t="shared" si="1"/>
        <v>3</v>
      </c>
      <c r="AH35" s="7">
        <f t="shared" si="2"/>
        <v>0</v>
      </c>
      <c r="AI35" s="7">
        <f t="shared" si="3"/>
        <v>0</v>
      </c>
      <c r="AJ35" s="7">
        <f t="shared" si="4"/>
        <v>10</v>
      </c>
      <c r="AK35" s="7">
        <f t="shared" si="5"/>
        <v>6</v>
      </c>
      <c r="AL35" s="12">
        <f t="shared" si="9"/>
        <v>19</v>
      </c>
      <c r="AM35" s="14" t="str">
        <f t="shared" si="7"/>
        <v>Potential</v>
      </c>
      <c r="AP35" s="10" t="s">
        <v>165</v>
      </c>
    </row>
    <row r="36" spans="1:42" ht="30" x14ac:dyDescent="0.25">
      <c r="A36" s="59">
        <v>44810</v>
      </c>
      <c r="C36" s="10">
        <v>8302407</v>
      </c>
      <c r="D36" s="10" t="s">
        <v>148</v>
      </c>
      <c r="E36" s="11">
        <v>9</v>
      </c>
      <c r="F36" s="39">
        <v>548521.64040000003</v>
      </c>
      <c r="G36" s="39">
        <v>6165904.773</v>
      </c>
      <c r="H36" s="11" t="s">
        <v>150</v>
      </c>
      <c r="I36" s="11" t="s">
        <v>164</v>
      </c>
      <c r="J36" s="22">
        <v>14</v>
      </c>
      <c r="L36" s="10" t="s">
        <v>95</v>
      </c>
      <c r="M36" s="10" t="s">
        <v>166</v>
      </c>
      <c r="N36" s="21">
        <v>6</v>
      </c>
      <c r="O36" s="21">
        <v>20</v>
      </c>
      <c r="P36" s="86"/>
      <c r="Q36" s="88"/>
      <c r="R36" s="86"/>
      <c r="S36" s="86"/>
      <c r="T36" s="88"/>
      <c r="U36" s="88"/>
      <c r="V36" s="86"/>
      <c r="W36" s="88"/>
      <c r="X36" s="86"/>
      <c r="Y36" s="88"/>
      <c r="Z36" s="88"/>
      <c r="AA36" s="86"/>
      <c r="AB36" s="10" t="s">
        <v>96</v>
      </c>
      <c r="AC36" s="10" t="s">
        <v>96</v>
      </c>
      <c r="AD36" s="86"/>
      <c r="AE36" s="86"/>
      <c r="AF36" s="20">
        <f t="shared" si="8"/>
        <v>0</v>
      </c>
      <c r="AG36" s="13">
        <f t="shared" si="1"/>
        <v>3</v>
      </c>
      <c r="AH36" s="7">
        <f t="shared" si="2"/>
        <v>0</v>
      </c>
      <c r="AI36" s="7">
        <f t="shared" si="3"/>
        <v>0</v>
      </c>
      <c r="AJ36" s="7">
        <f t="shared" si="4"/>
        <v>0</v>
      </c>
      <c r="AK36" s="7">
        <f t="shared" si="5"/>
        <v>0</v>
      </c>
      <c r="AL36" s="12">
        <f t="shared" si="9"/>
        <v>3</v>
      </c>
      <c r="AM36" s="14" t="str">
        <f t="shared" si="7"/>
        <v>Passable</v>
      </c>
      <c r="AN36" s="86"/>
      <c r="AO36" s="88"/>
      <c r="AP36" s="10" t="s">
        <v>167</v>
      </c>
    </row>
    <row r="37" spans="1:42" x14ac:dyDescent="0.25">
      <c r="A37" s="59">
        <v>44811</v>
      </c>
      <c r="C37" s="10">
        <v>8301754</v>
      </c>
      <c r="D37" s="10" t="s">
        <v>148</v>
      </c>
      <c r="E37" s="11">
        <v>9</v>
      </c>
      <c r="F37" s="39">
        <v>564129.63919999998</v>
      </c>
      <c r="G37" s="39">
        <v>6166824.1220000004</v>
      </c>
      <c r="H37" s="11" t="s">
        <v>168</v>
      </c>
      <c r="I37" s="11" t="s">
        <v>128</v>
      </c>
      <c r="L37" s="10" t="s">
        <v>98</v>
      </c>
      <c r="M37" s="10" t="s">
        <v>104</v>
      </c>
      <c r="N37" s="21">
        <v>3.9</v>
      </c>
      <c r="O37" s="21">
        <v>26</v>
      </c>
      <c r="P37" s="10" t="s">
        <v>102</v>
      </c>
      <c r="Q37" s="21">
        <v>0.13</v>
      </c>
      <c r="R37" s="10" t="s">
        <v>102</v>
      </c>
      <c r="S37" s="10" t="s">
        <v>96</v>
      </c>
      <c r="T37" s="88"/>
      <c r="U37" s="21">
        <v>2.5</v>
      </c>
      <c r="V37" s="10">
        <v>0</v>
      </c>
      <c r="W37" s="21">
        <v>0</v>
      </c>
      <c r="X37" s="10" t="s">
        <v>96</v>
      </c>
      <c r="Y37" s="21">
        <v>1.5</v>
      </c>
      <c r="Z37" s="21">
        <v>3.8</v>
      </c>
      <c r="AA37" s="10">
        <v>3</v>
      </c>
      <c r="AB37" s="10" t="s">
        <v>96</v>
      </c>
      <c r="AC37" s="10" t="s">
        <v>96</v>
      </c>
      <c r="AD37" s="10" t="s">
        <v>169</v>
      </c>
      <c r="AE37" s="10" t="s">
        <v>140</v>
      </c>
      <c r="AF37" s="20">
        <f t="shared" si="8"/>
        <v>0.97435897435897434</v>
      </c>
      <c r="AG37" s="13">
        <f t="shared" si="1"/>
        <v>3</v>
      </c>
      <c r="AH37" s="7">
        <f t="shared" si="2"/>
        <v>5</v>
      </c>
      <c r="AI37" s="7">
        <f t="shared" si="3"/>
        <v>0</v>
      </c>
      <c r="AJ37" s="7">
        <f t="shared" si="4"/>
        <v>5</v>
      </c>
      <c r="AK37" s="7">
        <f t="shared" si="5"/>
        <v>0</v>
      </c>
      <c r="AL37" s="12">
        <f t="shared" si="9"/>
        <v>13</v>
      </c>
      <c r="AM37" s="14" t="str">
        <f t="shared" si="7"/>
        <v>Passable</v>
      </c>
      <c r="AN37" s="86"/>
      <c r="AO37" s="88"/>
      <c r="AP37" s="10" t="s">
        <v>170</v>
      </c>
    </row>
    <row r="38" spans="1:42" ht="30" x14ac:dyDescent="0.25">
      <c r="A38" s="59">
        <v>44811</v>
      </c>
      <c r="C38" s="10">
        <v>8301749</v>
      </c>
      <c r="D38" s="10" t="s">
        <v>171</v>
      </c>
      <c r="E38" s="11">
        <v>9</v>
      </c>
      <c r="F38" s="39">
        <v>564726.29700000002</v>
      </c>
      <c r="G38" s="39">
        <v>6164300.5060000001</v>
      </c>
      <c r="H38" s="11" t="s">
        <v>129</v>
      </c>
      <c r="I38" s="11" t="s">
        <v>128</v>
      </c>
      <c r="L38" s="10" t="s">
        <v>98</v>
      </c>
      <c r="M38" s="10" t="s">
        <v>104</v>
      </c>
      <c r="N38" s="21">
        <v>0.5</v>
      </c>
      <c r="O38" s="21">
        <v>14</v>
      </c>
      <c r="P38" s="10" t="s">
        <v>96</v>
      </c>
      <c r="Q38" s="88"/>
      <c r="R38" s="10" t="s">
        <v>96</v>
      </c>
      <c r="S38" s="10" t="s">
        <v>96</v>
      </c>
      <c r="T38" s="88"/>
      <c r="U38" s="21">
        <v>1</v>
      </c>
      <c r="V38" s="10">
        <v>0</v>
      </c>
      <c r="W38" s="21">
        <v>0</v>
      </c>
      <c r="X38" s="10" t="s">
        <v>96</v>
      </c>
      <c r="Y38" s="21">
        <v>1</v>
      </c>
      <c r="Z38" s="21">
        <v>1</v>
      </c>
      <c r="AA38" s="10">
        <v>1</v>
      </c>
      <c r="AB38" s="10" t="s">
        <v>96</v>
      </c>
      <c r="AC38" s="10" t="s">
        <v>96</v>
      </c>
      <c r="AD38" s="10" t="s">
        <v>105</v>
      </c>
      <c r="AE38" s="10" t="s">
        <v>109</v>
      </c>
      <c r="AF38" s="20">
        <f t="shared" si="8"/>
        <v>2</v>
      </c>
      <c r="AG38" s="13">
        <f t="shared" si="1"/>
        <v>0</v>
      </c>
      <c r="AH38" s="7">
        <f t="shared" si="2"/>
        <v>10</v>
      </c>
      <c r="AI38" s="7">
        <f t="shared" si="3"/>
        <v>0</v>
      </c>
      <c r="AJ38" s="7">
        <f t="shared" si="4"/>
        <v>5</v>
      </c>
      <c r="AK38" s="7">
        <f t="shared" si="5"/>
        <v>6</v>
      </c>
      <c r="AL38" s="12">
        <f t="shared" si="9"/>
        <v>21</v>
      </c>
      <c r="AM38" s="14" t="str">
        <f t="shared" si="7"/>
        <v>Barrier</v>
      </c>
      <c r="AP38" s="10" t="s">
        <v>172</v>
      </c>
    </row>
    <row r="39" spans="1:42" ht="30" x14ac:dyDescent="0.25">
      <c r="A39" s="59">
        <v>44811</v>
      </c>
      <c r="C39" s="10">
        <v>8301748</v>
      </c>
      <c r="D39" s="10" t="s">
        <v>148</v>
      </c>
      <c r="E39" s="11">
        <v>9</v>
      </c>
      <c r="F39" s="39">
        <v>565280.84360000002</v>
      </c>
      <c r="G39" s="39">
        <v>6163975.7209999999</v>
      </c>
      <c r="H39" s="11" t="s">
        <v>129</v>
      </c>
      <c r="I39" s="11" t="s">
        <v>173</v>
      </c>
      <c r="L39" s="10" t="s">
        <v>98</v>
      </c>
      <c r="M39" s="10" t="s">
        <v>104</v>
      </c>
      <c r="N39" s="21">
        <v>0.95</v>
      </c>
      <c r="O39" s="21">
        <v>20</v>
      </c>
      <c r="P39" s="10" t="s">
        <v>96</v>
      </c>
      <c r="Q39" s="88"/>
      <c r="R39" s="10" t="s">
        <v>96</v>
      </c>
      <c r="S39" s="10" t="s">
        <v>96</v>
      </c>
      <c r="T39" s="88"/>
      <c r="U39" s="21">
        <v>2</v>
      </c>
      <c r="V39" s="10">
        <v>0.49</v>
      </c>
      <c r="W39" s="21">
        <v>0.28000000000000003</v>
      </c>
      <c r="X39" s="10" t="s">
        <v>96</v>
      </c>
      <c r="Y39" s="21">
        <v>2.5</v>
      </c>
      <c r="Z39" s="21">
        <v>1.6</v>
      </c>
      <c r="AA39" s="10">
        <v>2</v>
      </c>
      <c r="AB39" s="10" t="s">
        <v>96</v>
      </c>
      <c r="AC39" s="10" t="s">
        <v>96</v>
      </c>
      <c r="AD39" s="10" t="s">
        <v>105</v>
      </c>
      <c r="AE39" s="10" t="s">
        <v>109</v>
      </c>
      <c r="AF39" s="20">
        <f t="shared" si="8"/>
        <v>1.6842105263157896</v>
      </c>
      <c r="AG39" s="13">
        <f t="shared" si="1"/>
        <v>3</v>
      </c>
      <c r="AH39" s="7">
        <f t="shared" si="2"/>
        <v>10</v>
      </c>
      <c r="AI39" s="7">
        <f t="shared" si="3"/>
        <v>10</v>
      </c>
      <c r="AJ39" s="7">
        <f t="shared" si="4"/>
        <v>5</v>
      </c>
      <c r="AK39" s="7">
        <f t="shared" si="5"/>
        <v>6</v>
      </c>
      <c r="AL39" s="12">
        <f t="shared" si="9"/>
        <v>34</v>
      </c>
      <c r="AM39" s="14" t="str">
        <f t="shared" si="7"/>
        <v>Barrier</v>
      </c>
      <c r="AP39" s="10" t="s">
        <v>174</v>
      </c>
    </row>
    <row r="40" spans="1:42" ht="30" x14ac:dyDescent="0.25">
      <c r="A40" s="59">
        <v>44813</v>
      </c>
      <c r="C40" s="10">
        <v>8300042</v>
      </c>
      <c r="D40" s="10" t="s">
        <v>171</v>
      </c>
      <c r="E40" s="11">
        <v>9</v>
      </c>
      <c r="F40" s="39">
        <v>582153.73289999994</v>
      </c>
      <c r="G40" s="39">
        <v>6135026.2599999998</v>
      </c>
      <c r="H40" s="11" t="s">
        <v>150</v>
      </c>
      <c r="I40" s="11" t="s">
        <v>133</v>
      </c>
      <c r="L40" s="10" t="s">
        <v>98</v>
      </c>
      <c r="M40" s="10" t="s">
        <v>104</v>
      </c>
      <c r="N40" s="21">
        <v>3.7</v>
      </c>
      <c r="O40" s="21">
        <v>32.5</v>
      </c>
      <c r="P40" s="10" t="s">
        <v>96</v>
      </c>
      <c r="Q40" s="88"/>
      <c r="R40" s="10" t="s">
        <v>96</v>
      </c>
      <c r="S40" s="10" t="s">
        <v>96</v>
      </c>
      <c r="T40" s="88"/>
      <c r="U40" s="21">
        <v>5.5</v>
      </c>
      <c r="V40" s="10">
        <v>1.1000000000000001</v>
      </c>
      <c r="W40" s="21">
        <v>0.85</v>
      </c>
      <c r="X40" s="10" t="s">
        <v>96</v>
      </c>
      <c r="Y40" s="21">
        <v>4</v>
      </c>
      <c r="Z40" s="21">
        <v>5.3</v>
      </c>
      <c r="AA40" s="10">
        <v>5.5</v>
      </c>
      <c r="AB40" s="10" t="s">
        <v>96</v>
      </c>
      <c r="AC40" s="10" t="s">
        <v>96</v>
      </c>
      <c r="AD40" s="10" t="s">
        <v>105</v>
      </c>
      <c r="AE40" s="10" t="s">
        <v>140</v>
      </c>
      <c r="AF40" s="20">
        <f t="shared" si="8"/>
        <v>1.4324324324324322</v>
      </c>
      <c r="AG40" s="13">
        <f t="shared" si="1"/>
        <v>6</v>
      </c>
      <c r="AH40" s="7">
        <f t="shared" si="2"/>
        <v>10</v>
      </c>
      <c r="AI40" s="7">
        <f t="shared" si="3"/>
        <v>10</v>
      </c>
      <c r="AJ40" s="7">
        <f t="shared" si="4"/>
        <v>10</v>
      </c>
      <c r="AK40" s="7">
        <f t="shared" si="5"/>
        <v>6</v>
      </c>
      <c r="AL40" s="12">
        <f t="shared" si="9"/>
        <v>42</v>
      </c>
      <c r="AM40" s="14" t="str">
        <f t="shared" si="7"/>
        <v>Barrier</v>
      </c>
      <c r="AP40" s="10" t="s">
        <v>175</v>
      </c>
    </row>
    <row r="41" spans="1:42" ht="30" x14ac:dyDescent="0.25">
      <c r="A41" s="59">
        <v>44813</v>
      </c>
      <c r="C41" s="10">
        <v>8300054</v>
      </c>
      <c r="D41" s="10" t="s">
        <v>148</v>
      </c>
      <c r="E41" s="11">
        <v>9</v>
      </c>
      <c r="F41" s="39">
        <v>583025.51610000001</v>
      </c>
      <c r="G41" s="39">
        <v>6130401.8499999996</v>
      </c>
      <c r="H41" s="11" t="s">
        <v>176</v>
      </c>
      <c r="I41" s="11" t="s">
        <v>162</v>
      </c>
      <c r="K41" s="11" t="s">
        <v>158</v>
      </c>
      <c r="L41" s="10" t="s">
        <v>98</v>
      </c>
      <c r="M41" s="10" t="s">
        <v>104</v>
      </c>
      <c r="N41" s="21">
        <v>2</v>
      </c>
      <c r="O41" s="21">
        <v>24</v>
      </c>
      <c r="P41" s="10" t="s">
        <v>102</v>
      </c>
      <c r="Q41" s="21">
        <v>0.2</v>
      </c>
      <c r="R41" s="10" t="s">
        <v>102</v>
      </c>
      <c r="S41" s="10" t="s">
        <v>102</v>
      </c>
      <c r="T41" s="21">
        <v>95</v>
      </c>
      <c r="U41" s="21">
        <v>3</v>
      </c>
      <c r="V41" s="10">
        <v>0</v>
      </c>
      <c r="W41" s="21">
        <v>0.8</v>
      </c>
      <c r="X41" s="10" t="s">
        <v>102</v>
      </c>
      <c r="Y41" s="21">
        <v>0.5</v>
      </c>
      <c r="Z41" s="21">
        <v>5.6</v>
      </c>
      <c r="AA41" s="10">
        <v>1.5</v>
      </c>
      <c r="AB41" s="10" t="s">
        <v>102</v>
      </c>
      <c r="AC41" s="10" t="s">
        <v>102</v>
      </c>
      <c r="AD41" s="10" t="s">
        <v>105</v>
      </c>
      <c r="AE41" s="10" t="s">
        <v>140</v>
      </c>
      <c r="AF41" s="20">
        <f t="shared" si="8"/>
        <v>2.8</v>
      </c>
      <c r="AG41" s="13">
        <f t="shared" si="1"/>
        <v>3</v>
      </c>
      <c r="AH41" s="7">
        <f t="shared" si="2"/>
        <v>5</v>
      </c>
      <c r="AI41" s="7">
        <f t="shared" si="3"/>
        <v>0</v>
      </c>
      <c r="AJ41" s="7">
        <f t="shared" si="4"/>
        <v>0</v>
      </c>
      <c r="AK41" s="7">
        <f t="shared" si="5"/>
        <v>6</v>
      </c>
      <c r="AL41" s="12">
        <f t="shared" si="9"/>
        <v>14</v>
      </c>
      <c r="AM41" s="14" t="str">
        <f t="shared" si="7"/>
        <v>Passable</v>
      </c>
      <c r="AN41" s="86"/>
      <c r="AO41" s="88"/>
      <c r="AP41" s="10" t="s">
        <v>177</v>
      </c>
    </row>
    <row r="42" spans="1:42" ht="30" x14ac:dyDescent="0.25">
      <c r="A42" s="59">
        <v>44813</v>
      </c>
      <c r="C42" s="10">
        <v>8301485</v>
      </c>
      <c r="D42" s="10" t="s">
        <v>148</v>
      </c>
      <c r="E42" s="11">
        <v>9</v>
      </c>
      <c r="F42" s="39">
        <v>582851.3419</v>
      </c>
      <c r="G42" s="39">
        <v>6130490.6440000003</v>
      </c>
      <c r="H42" s="11" t="s">
        <v>176</v>
      </c>
      <c r="I42" s="11" t="s">
        <v>178</v>
      </c>
      <c r="K42" s="11" t="s">
        <v>179</v>
      </c>
      <c r="L42" s="10" t="s">
        <v>98</v>
      </c>
      <c r="M42" s="10" t="s">
        <v>104</v>
      </c>
      <c r="N42" s="21">
        <v>2.5</v>
      </c>
      <c r="O42" s="21">
        <v>10</v>
      </c>
      <c r="P42" s="10" t="s">
        <v>96</v>
      </c>
      <c r="Q42" s="88"/>
      <c r="R42" s="10" t="s">
        <v>96</v>
      </c>
      <c r="S42" s="10" t="s">
        <v>96</v>
      </c>
      <c r="T42" s="88"/>
      <c r="U42" s="21">
        <v>1</v>
      </c>
      <c r="V42" s="10">
        <v>0.6</v>
      </c>
      <c r="W42" s="21">
        <v>0.7</v>
      </c>
      <c r="X42" s="10" t="s">
        <v>102</v>
      </c>
      <c r="Y42" s="21">
        <v>3.5</v>
      </c>
      <c r="Z42" s="21">
        <v>5.6</v>
      </c>
      <c r="AA42" s="10">
        <v>1.5</v>
      </c>
      <c r="AB42" s="10" t="s">
        <v>102</v>
      </c>
      <c r="AC42" s="10" t="s">
        <v>96</v>
      </c>
      <c r="AD42" s="10" t="s">
        <v>105</v>
      </c>
      <c r="AE42" s="10" t="s">
        <v>140</v>
      </c>
      <c r="AF42" s="20">
        <f t="shared" si="8"/>
        <v>2.2399999999999998</v>
      </c>
      <c r="AG42" s="13">
        <f t="shared" si="1"/>
        <v>0</v>
      </c>
      <c r="AH42" s="7">
        <f t="shared" si="2"/>
        <v>10</v>
      </c>
      <c r="AI42" s="7">
        <f t="shared" si="3"/>
        <v>10</v>
      </c>
      <c r="AJ42" s="7">
        <f t="shared" si="4"/>
        <v>10</v>
      </c>
      <c r="AK42" s="7">
        <f t="shared" si="5"/>
        <v>6</v>
      </c>
      <c r="AL42" s="12">
        <f t="shared" si="9"/>
        <v>36</v>
      </c>
      <c r="AM42" s="14" t="str">
        <f t="shared" si="7"/>
        <v>Barrier</v>
      </c>
      <c r="AP42" s="10" t="s">
        <v>180</v>
      </c>
    </row>
    <row r="43" spans="1:42" ht="30" x14ac:dyDescent="0.25">
      <c r="A43" s="59">
        <v>44811</v>
      </c>
      <c r="C43" s="10">
        <v>2787053</v>
      </c>
      <c r="D43" s="10" t="s">
        <v>171</v>
      </c>
      <c r="E43" s="11">
        <v>9</v>
      </c>
      <c r="F43" s="39">
        <v>571274.1531</v>
      </c>
      <c r="G43" s="39">
        <v>6156519.1540000001</v>
      </c>
      <c r="H43" s="11" t="s">
        <v>100</v>
      </c>
      <c r="I43" s="11" t="s">
        <v>120</v>
      </c>
      <c r="K43" s="11" t="s">
        <v>158</v>
      </c>
      <c r="L43" s="10" t="s">
        <v>98</v>
      </c>
      <c r="M43" s="10" t="s">
        <v>104</v>
      </c>
      <c r="N43" s="21">
        <v>0.6</v>
      </c>
      <c r="O43" s="21">
        <v>19</v>
      </c>
      <c r="P43" s="10" t="s">
        <v>96</v>
      </c>
      <c r="Q43" s="88"/>
      <c r="R43" s="10" t="s">
        <v>96</v>
      </c>
      <c r="S43" s="10" t="s">
        <v>96</v>
      </c>
      <c r="T43" s="88"/>
      <c r="U43" s="21">
        <v>3</v>
      </c>
      <c r="V43" s="10">
        <v>0</v>
      </c>
      <c r="W43" s="21">
        <v>0.67</v>
      </c>
      <c r="X43" s="10" t="s">
        <v>102</v>
      </c>
      <c r="Y43" s="21">
        <v>3</v>
      </c>
      <c r="Z43" s="21">
        <v>2</v>
      </c>
      <c r="AA43" s="10">
        <v>3.5</v>
      </c>
      <c r="AB43" s="10" t="s">
        <v>96</v>
      </c>
      <c r="AC43" s="10" t="s">
        <v>96</v>
      </c>
      <c r="AD43" s="10" t="s">
        <v>105</v>
      </c>
      <c r="AE43" s="10" t="s">
        <v>106</v>
      </c>
      <c r="AF43" s="20">
        <f t="shared" si="8"/>
        <v>3.3333333333333335</v>
      </c>
      <c r="AG43" s="13">
        <f t="shared" si="1"/>
        <v>3</v>
      </c>
      <c r="AH43" s="7">
        <f t="shared" si="2"/>
        <v>10</v>
      </c>
      <c r="AI43" s="7">
        <f t="shared" si="3"/>
        <v>0</v>
      </c>
      <c r="AJ43" s="7">
        <f t="shared" si="4"/>
        <v>10</v>
      </c>
      <c r="AK43" s="7">
        <f t="shared" si="5"/>
        <v>6</v>
      </c>
      <c r="AL43" s="12">
        <f t="shared" si="9"/>
        <v>29</v>
      </c>
      <c r="AM43" s="14" t="str">
        <f t="shared" si="7"/>
        <v>Barrier</v>
      </c>
      <c r="AP43" s="10" t="s">
        <v>181</v>
      </c>
    </row>
    <row r="44" spans="1:42" ht="30" x14ac:dyDescent="0.25">
      <c r="A44" s="59">
        <v>44813</v>
      </c>
      <c r="C44" s="10">
        <v>8300033</v>
      </c>
      <c r="D44" s="10" t="s">
        <v>148</v>
      </c>
      <c r="E44" s="11">
        <v>9</v>
      </c>
      <c r="F44" s="39">
        <v>579936.82109999994</v>
      </c>
      <c r="G44" s="39">
        <v>6144036.6239999998</v>
      </c>
      <c r="H44" s="11" t="s">
        <v>100</v>
      </c>
      <c r="I44" s="11" t="s">
        <v>182</v>
      </c>
      <c r="K44" s="11" t="s">
        <v>183</v>
      </c>
      <c r="L44" s="10" t="s">
        <v>98</v>
      </c>
      <c r="M44" s="10" t="s">
        <v>104</v>
      </c>
      <c r="N44" s="21">
        <v>0.8</v>
      </c>
      <c r="O44" s="21">
        <v>13</v>
      </c>
      <c r="P44" s="10" t="s">
        <v>96</v>
      </c>
      <c r="Q44" s="88"/>
      <c r="R44" s="10" t="s">
        <v>96</v>
      </c>
      <c r="S44" s="10" t="s">
        <v>102</v>
      </c>
      <c r="T44" s="21">
        <v>100</v>
      </c>
      <c r="U44" s="21">
        <v>0.3</v>
      </c>
      <c r="V44" s="10">
        <v>0</v>
      </c>
      <c r="W44" s="21">
        <v>1</v>
      </c>
      <c r="X44" s="10" t="s">
        <v>102</v>
      </c>
      <c r="Y44" s="21">
        <v>0.5</v>
      </c>
      <c r="Z44" s="21">
        <v>2.5</v>
      </c>
      <c r="AA44" s="10">
        <v>0</v>
      </c>
      <c r="AB44" s="10" t="s">
        <v>102</v>
      </c>
      <c r="AC44" s="10" t="s">
        <v>96</v>
      </c>
      <c r="AD44" s="10" t="s">
        <v>105</v>
      </c>
      <c r="AE44" s="10" t="s">
        <v>106</v>
      </c>
      <c r="AF44" s="20">
        <f t="shared" si="8"/>
        <v>3.125</v>
      </c>
      <c r="AG44" s="13">
        <f t="shared" si="1"/>
        <v>0</v>
      </c>
      <c r="AH44" s="7">
        <f t="shared" si="2"/>
        <v>10</v>
      </c>
      <c r="AI44" s="7">
        <f t="shared" si="3"/>
        <v>0</v>
      </c>
      <c r="AJ44" s="7">
        <f t="shared" si="4"/>
        <v>0</v>
      </c>
      <c r="AK44" s="7">
        <f t="shared" si="5"/>
        <v>6</v>
      </c>
      <c r="AL44" s="12">
        <f t="shared" si="9"/>
        <v>16</v>
      </c>
      <c r="AM44" s="14" t="str">
        <f t="shared" si="7"/>
        <v>Potential</v>
      </c>
      <c r="AP44" s="10" t="s">
        <v>184</v>
      </c>
    </row>
    <row r="45" spans="1:42" ht="30" x14ac:dyDescent="0.25">
      <c r="A45" s="59">
        <v>44814</v>
      </c>
      <c r="C45" s="10">
        <v>8300095</v>
      </c>
      <c r="D45" s="10" t="s">
        <v>148</v>
      </c>
      <c r="E45" s="11">
        <v>9</v>
      </c>
      <c r="F45" s="39">
        <v>563431</v>
      </c>
      <c r="G45" s="39">
        <v>6109637</v>
      </c>
      <c r="H45" s="11" t="s">
        <v>139</v>
      </c>
      <c r="I45" s="11" t="s">
        <v>143</v>
      </c>
      <c r="K45" s="11" t="s">
        <v>158</v>
      </c>
      <c r="L45" s="10" t="s">
        <v>98</v>
      </c>
      <c r="M45" s="10" t="s">
        <v>104</v>
      </c>
      <c r="N45" s="21">
        <v>4.8</v>
      </c>
      <c r="O45" s="21">
        <v>75</v>
      </c>
      <c r="P45" s="10" t="s">
        <v>96</v>
      </c>
      <c r="Q45" s="88"/>
      <c r="R45" s="10" t="s">
        <v>96</v>
      </c>
      <c r="S45" s="10" t="s">
        <v>96</v>
      </c>
      <c r="T45" s="88"/>
      <c r="U45" s="21">
        <v>9.9</v>
      </c>
      <c r="V45" s="10">
        <v>0.72</v>
      </c>
      <c r="W45" s="21">
        <v>0.75</v>
      </c>
      <c r="X45" s="10" t="s">
        <v>96</v>
      </c>
      <c r="Y45" s="21">
        <v>1.5</v>
      </c>
      <c r="Z45" s="21">
        <v>5</v>
      </c>
      <c r="AA45" s="10">
        <v>2</v>
      </c>
      <c r="AB45" s="10" t="s">
        <v>96</v>
      </c>
      <c r="AC45" s="10" t="s">
        <v>96</v>
      </c>
      <c r="AD45" s="10" t="s">
        <v>105</v>
      </c>
      <c r="AE45" s="10" t="s">
        <v>140</v>
      </c>
      <c r="AF45" s="20">
        <f t="shared" si="8"/>
        <v>1.0416666666666667</v>
      </c>
      <c r="AG45" s="13">
        <f t="shared" si="1"/>
        <v>6</v>
      </c>
      <c r="AH45" s="7">
        <f t="shared" si="2"/>
        <v>10</v>
      </c>
      <c r="AI45" s="7">
        <f t="shared" si="3"/>
        <v>10</v>
      </c>
      <c r="AJ45" s="7">
        <f t="shared" si="4"/>
        <v>5</v>
      </c>
      <c r="AK45" s="7">
        <f t="shared" si="5"/>
        <v>3</v>
      </c>
      <c r="AL45" s="12">
        <f t="shared" si="9"/>
        <v>34</v>
      </c>
      <c r="AM45" s="14" t="str">
        <f t="shared" si="7"/>
        <v>Barrier</v>
      </c>
      <c r="AP45" s="10" t="s">
        <v>185</v>
      </c>
    </row>
    <row r="46" spans="1:42" ht="30" x14ac:dyDescent="0.25">
      <c r="A46" s="59">
        <v>44814</v>
      </c>
      <c r="C46" s="10">
        <v>8300178</v>
      </c>
      <c r="D46" s="10" t="s">
        <v>148</v>
      </c>
      <c r="E46" s="11">
        <v>9</v>
      </c>
      <c r="F46" s="39">
        <v>558773.20570000005</v>
      </c>
      <c r="G46" s="39">
        <v>6126523.3099999996</v>
      </c>
      <c r="H46" s="11" t="s">
        <v>139</v>
      </c>
      <c r="I46" s="11" t="s">
        <v>186</v>
      </c>
      <c r="K46" s="11" t="s">
        <v>158</v>
      </c>
      <c r="L46" s="10" t="s">
        <v>98</v>
      </c>
      <c r="M46" s="10" t="s">
        <v>104</v>
      </c>
      <c r="N46" s="21">
        <v>1.3</v>
      </c>
      <c r="O46" s="21">
        <v>9</v>
      </c>
      <c r="P46" s="10" t="s">
        <v>96</v>
      </c>
      <c r="Q46" s="88"/>
      <c r="R46" s="10" t="s">
        <v>96</v>
      </c>
      <c r="S46" s="10" t="s">
        <v>96</v>
      </c>
      <c r="T46" s="88"/>
      <c r="U46" s="21">
        <v>1</v>
      </c>
      <c r="V46" s="10">
        <v>0</v>
      </c>
      <c r="W46" s="21">
        <v>0.2</v>
      </c>
      <c r="X46" s="10" t="s">
        <v>96</v>
      </c>
      <c r="Y46" s="21">
        <v>1</v>
      </c>
      <c r="Z46" s="21">
        <v>4</v>
      </c>
      <c r="AA46" s="10">
        <v>0</v>
      </c>
      <c r="AB46" s="10" t="s">
        <v>102</v>
      </c>
      <c r="AC46" s="10" t="s">
        <v>96</v>
      </c>
      <c r="AD46" s="10" t="s">
        <v>105</v>
      </c>
      <c r="AE46" s="10" t="s">
        <v>106</v>
      </c>
      <c r="AF46" s="20">
        <f t="shared" si="8"/>
        <v>3.0769230769230766</v>
      </c>
      <c r="AG46" s="13">
        <f t="shared" si="1"/>
        <v>0</v>
      </c>
      <c r="AH46" s="7">
        <f t="shared" si="2"/>
        <v>10</v>
      </c>
      <c r="AI46" s="7">
        <f t="shared" si="3"/>
        <v>0</v>
      </c>
      <c r="AJ46" s="7">
        <f t="shared" si="4"/>
        <v>5</v>
      </c>
      <c r="AK46" s="7">
        <f t="shared" si="5"/>
        <v>6</v>
      </c>
      <c r="AL46" s="12">
        <f t="shared" si="9"/>
        <v>21</v>
      </c>
      <c r="AM46" s="14" t="str">
        <f t="shared" si="7"/>
        <v>Barrier</v>
      </c>
      <c r="AP46" s="10" t="s">
        <v>187</v>
      </c>
    </row>
    <row r="47" spans="1:42" x14ac:dyDescent="0.25">
      <c r="A47" s="59">
        <v>44812</v>
      </c>
      <c r="C47" s="10">
        <v>8302257</v>
      </c>
      <c r="D47" s="10" t="s">
        <v>148</v>
      </c>
      <c r="E47" s="11">
        <v>9</v>
      </c>
      <c r="F47" s="39">
        <v>587054.01138077199</v>
      </c>
      <c r="G47" s="39">
        <v>6138715.9746004604</v>
      </c>
      <c r="H47" s="11" t="s">
        <v>201</v>
      </c>
      <c r="I47" s="11" t="s">
        <v>200</v>
      </c>
      <c r="L47" s="10" t="s">
        <v>98</v>
      </c>
      <c r="M47" s="10" t="s">
        <v>104</v>
      </c>
      <c r="N47" s="21">
        <v>3.8</v>
      </c>
      <c r="O47" s="21">
        <v>30</v>
      </c>
      <c r="P47" s="10" t="s">
        <v>96</v>
      </c>
      <c r="Q47" s="88"/>
      <c r="R47" s="10" t="s">
        <v>96</v>
      </c>
      <c r="S47" s="10" t="s">
        <v>96</v>
      </c>
      <c r="T47" s="88"/>
      <c r="U47" s="21">
        <v>4</v>
      </c>
      <c r="V47" s="10">
        <v>0.45</v>
      </c>
      <c r="W47" s="21">
        <v>0.4</v>
      </c>
      <c r="X47" s="10" t="s">
        <v>96</v>
      </c>
      <c r="Y47" s="21">
        <v>2.5</v>
      </c>
      <c r="Z47" s="21">
        <v>8.1999999999999993</v>
      </c>
      <c r="AA47" s="10">
        <v>4</v>
      </c>
      <c r="AB47" s="10" t="s">
        <v>96</v>
      </c>
      <c r="AC47" s="10" t="s">
        <v>96</v>
      </c>
      <c r="AD47" s="10" t="s">
        <v>105</v>
      </c>
      <c r="AE47" s="10" t="s">
        <v>140</v>
      </c>
      <c r="AF47" s="20">
        <f t="shared" si="8"/>
        <v>2.1578947368421053</v>
      </c>
      <c r="AG47" s="13">
        <f t="shared" si="1"/>
        <v>6</v>
      </c>
      <c r="AH47" s="7">
        <f t="shared" si="2"/>
        <v>10</v>
      </c>
      <c r="AI47" s="7">
        <f t="shared" si="3"/>
        <v>10</v>
      </c>
      <c r="AJ47" s="7">
        <f t="shared" si="4"/>
        <v>5</v>
      </c>
      <c r="AK47" s="7">
        <f t="shared" si="5"/>
        <v>6</v>
      </c>
      <c r="AL47" s="12">
        <f t="shared" si="9"/>
        <v>37</v>
      </c>
      <c r="AM47" s="14" t="str">
        <f t="shared" si="7"/>
        <v>Barrier</v>
      </c>
      <c r="AP47" s="10" t="s">
        <v>202</v>
      </c>
    </row>
    <row r="48" spans="1:42" x14ac:dyDescent="0.25">
      <c r="A48" s="59">
        <v>44812</v>
      </c>
      <c r="C48" s="10">
        <v>8300238</v>
      </c>
      <c r="D48" s="10" t="s">
        <v>148</v>
      </c>
      <c r="E48" s="11">
        <v>9</v>
      </c>
      <c r="F48" s="39">
        <v>587207.36312942405</v>
      </c>
      <c r="G48" s="39">
        <v>6138659.0618856801</v>
      </c>
      <c r="H48" s="11" t="s">
        <v>201</v>
      </c>
      <c r="I48" s="11" t="s">
        <v>199</v>
      </c>
      <c r="L48" s="10" t="s">
        <v>92</v>
      </c>
      <c r="M48" s="10" t="s">
        <v>99</v>
      </c>
      <c r="N48" s="88"/>
      <c r="O48" s="88"/>
      <c r="P48" s="86"/>
      <c r="Q48" s="88"/>
      <c r="R48" s="86"/>
      <c r="S48" s="86"/>
      <c r="T48" s="88"/>
      <c r="U48" s="88"/>
      <c r="V48" s="86"/>
      <c r="W48" s="88"/>
      <c r="X48" s="86"/>
      <c r="Y48" s="88"/>
      <c r="Z48" s="88"/>
      <c r="AA48" s="86"/>
      <c r="AB48" s="10" t="s">
        <v>96</v>
      </c>
      <c r="AC48" s="10" t="s">
        <v>96</v>
      </c>
      <c r="AD48" s="86"/>
      <c r="AE48" s="86"/>
      <c r="AF48" s="20">
        <f t="shared" si="8"/>
        <v>0</v>
      </c>
      <c r="AG48" s="13">
        <f t="shared" si="1"/>
        <v>0</v>
      </c>
      <c r="AH48" s="7">
        <f t="shared" si="2"/>
        <v>0</v>
      </c>
      <c r="AI48" s="7">
        <f t="shared" si="3"/>
        <v>0</v>
      </c>
      <c r="AJ48" s="7">
        <f t="shared" si="4"/>
        <v>0</v>
      </c>
      <c r="AK48" s="7">
        <f t="shared" si="5"/>
        <v>0</v>
      </c>
      <c r="AL48" s="12">
        <f t="shared" si="9"/>
        <v>0</v>
      </c>
      <c r="AM48" s="14" t="str">
        <f t="shared" si="7"/>
        <v>Unknown</v>
      </c>
      <c r="AP48" s="10" t="s">
        <v>203</v>
      </c>
    </row>
    <row r="49" spans="1:42" x14ac:dyDescent="0.25">
      <c r="A49" s="59">
        <v>44817</v>
      </c>
      <c r="C49" s="10">
        <v>4601067</v>
      </c>
      <c r="D49" s="10" t="s">
        <v>188</v>
      </c>
      <c r="E49" s="11">
        <v>9</v>
      </c>
      <c r="F49" s="39">
        <v>594902</v>
      </c>
      <c r="G49" s="39">
        <v>6075406</v>
      </c>
      <c r="I49" s="11" t="s">
        <v>189</v>
      </c>
      <c r="J49" s="22">
        <v>2.5</v>
      </c>
      <c r="L49" s="10" t="s">
        <v>98</v>
      </c>
      <c r="M49" s="10" t="s">
        <v>104</v>
      </c>
      <c r="N49" s="21">
        <v>0.8</v>
      </c>
      <c r="O49" s="21">
        <v>11</v>
      </c>
      <c r="P49" s="10" t="s">
        <v>96</v>
      </c>
      <c r="Q49" s="88"/>
      <c r="R49" s="10" t="s">
        <v>96</v>
      </c>
      <c r="S49" s="10" t="s">
        <v>96</v>
      </c>
      <c r="T49" s="88"/>
      <c r="U49" s="21">
        <v>1</v>
      </c>
      <c r="V49" s="10">
        <v>0</v>
      </c>
      <c r="W49" s="21">
        <v>0.45</v>
      </c>
      <c r="X49" s="10" t="s">
        <v>96</v>
      </c>
      <c r="Y49" s="21">
        <v>1</v>
      </c>
      <c r="Z49" s="21">
        <v>1.45</v>
      </c>
      <c r="AA49" s="10">
        <v>1</v>
      </c>
      <c r="AB49" s="10" t="s">
        <v>96</v>
      </c>
      <c r="AC49" s="10" t="s">
        <v>102</v>
      </c>
      <c r="AD49" s="10" t="s">
        <v>169</v>
      </c>
      <c r="AE49" s="10" t="s">
        <v>106</v>
      </c>
      <c r="AF49" s="20">
        <f t="shared" si="8"/>
        <v>1.8124999999999998</v>
      </c>
      <c r="AG49" s="13">
        <f t="shared" si="1"/>
        <v>0</v>
      </c>
      <c r="AH49" s="7">
        <f t="shared" si="2"/>
        <v>10</v>
      </c>
      <c r="AI49" s="7">
        <f t="shared" si="3"/>
        <v>0</v>
      </c>
      <c r="AJ49" s="7">
        <f t="shared" si="4"/>
        <v>5</v>
      </c>
      <c r="AK49" s="7">
        <f t="shared" si="5"/>
        <v>6</v>
      </c>
      <c r="AL49" s="12">
        <f t="shared" si="9"/>
        <v>21</v>
      </c>
      <c r="AM49" s="14" t="str">
        <f t="shared" si="7"/>
        <v>Barrier</v>
      </c>
      <c r="AP49" s="89">
        <v>0.64097222222222217</v>
      </c>
    </row>
    <row r="50" spans="1:42" x14ac:dyDescent="0.25">
      <c r="A50" s="59">
        <v>44827</v>
      </c>
      <c r="C50" s="10">
        <v>8300128</v>
      </c>
      <c r="D50" s="10" t="s">
        <v>191</v>
      </c>
      <c r="E50" s="11">
        <v>9</v>
      </c>
      <c r="F50" s="39">
        <v>584898.73659999995</v>
      </c>
      <c r="G50" s="39">
        <v>6152502.318</v>
      </c>
      <c r="H50" s="11" t="s">
        <v>190</v>
      </c>
      <c r="I50" s="11" t="s">
        <v>192</v>
      </c>
      <c r="J50" s="22">
        <v>30</v>
      </c>
      <c r="L50" s="10" t="s">
        <v>98</v>
      </c>
      <c r="M50" s="10" t="s">
        <v>104</v>
      </c>
      <c r="N50" s="21">
        <v>2.4</v>
      </c>
      <c r="O50" s="21">
        <v>30</v>
      </c>
      <c r="P50" s="10" t="s">
        <v>96</v>
      </c>
      <c r="Q50" s="88"/>
      <c r="R50" s="10" t="s">
        <v>96</v>
      </c>
      <c r="S50" s="10" t="s">
        <v>96</v>
      </c>
      <c r="T50" s="88"/>
      <c r="U50" s="21">
        <v>4</v>
      </c>
      <c r="V50" s="10">
        <v>2</v>
      </c>
      <c r="W50" s="21">
        <v>2</v>
      </c>
      <c r="X50" s="10" t="s">
        <v>102</v>
      </c>
      <c r="Y50" s="21">
        <v>3.5</v>
      </c>
      <c r="Z50" s="21">
        <v>3.7</v>
      </c>
      <c r="AA50" s="10">
        <v>4.5</v>
      </c>
      <c r="AB50" s="10" t="s">
        <v>96</v>
      </c>
      <c r="AC50" s="10" t="s">
        <v>96</v>
      </c>
      <c r="AD50" s="10" t="s">
        <v>105</v>
      </c>
      <c r="AE50" s="10" t="s">
        <v>109</v>
      </c>
      <c r="AF50" s="20">
        <f t="shared" si="8"/>
        <v>1.5416666666666667</v>
      </c>
      <c r="AG50" s="13">
        <f t="shared" si="1"/>
        <v>6</v>
      </c>
      <c r="AH50" s="7">
        <f t="shared" si="2"/>
        <v>10</v>
      </c>
      <c r="AI50" s="7">
        <f t="shared" si="3"/>
        <v>10</v>
      </c>
      <c r="AJ50" s="7">
        <f t="shared" si="4"/>
        <v>10</v>
      </c>
      <c r="AK50" s="7">
        <f t="shared" si="5"/>
        <v>6</v>
      </c>
      <c r="AL50" s="12">
        <f t="shared" si="9"/>
        <v>42</v>
      </c>
      <c r="AM50" s="14" t="str">
        <f t="shared" si="7"/>
        <v>Barrier</v>
      </c>
      <c r="AP50" s="10" t="s">
        <v>193</v>
      </c>
    </row>
    <row r="51" spans="1:42" x14ac:dyDescent="0.25">
      <c r="A51" s="59">
        <v>44830</v>
      </c>
      <c r="C51" s="10">
        <v>4709789</v>
      </c>
      <c r="D51" s="10" t="s">
        <v>191</v>
      </c>
      <c r="E51" s="11">
        <v>9</v>
      </c>
      <c r="F51" s="39">
        <v>581806.03940000001</v>
      </c>
      <c r="G51" s="39">
        <v>6156404.443</v>
      </c>
      <c r="H51" s="11" t="s">
        <v>194</v>
      </c>
      <c r="I51" s="11" t="s">
        <v>192</v>
      </c>
      <c r="J51" s="22">
        <v>36</v>
      </c>
      <c r="L51" s="10" t="s">
        <v>95</v>
      </c>
      <c r="M51" s="10" t="s">
        <v>101</v>
      </c>
      <c r="N51" s="21">
        <v>4.8</v>
      </c>
      <c r="O51" s="21">
        <v>10</v>
      </c>
      <c r="P51" s="86"/>
      <c r="Q51" s="88"/>
      <c r="R51" s="86"/>
      <c r="S51" s="86"/>
      <c r="T51" s="88"/>
      <c r="U51" s="88"/>
      <c r="V51" s="86"/>
      <c r="W51" s="88"/>
      <c r="X51" s="86"/>
      <c r="Y51" s="88"/>
      <c r="Z51" s="88"/>
      <c r="AA51" s="86"/>
      <c r="AB51" s="10" t="s">
        <v>96</v>
      </c>
      <c r="AC51" s="10" t="s">
        <v>96</v>
      </c>
      <c r="AD51" s="86"/>
      <c r="AE51" s="86"/>
      <c r="AF51" s="20">
        <f t="shared" si="8"/>
        <v>0</v>
      </c>
      <c r="AG51" s="13">
        <f t="shared" si="1"/>
        <v>0</v>
      </c>
      <c r="AH51" s="7">
        <f t="shared" si="2"/>
        <v>0</v>
      </c>
      <c r="AI51" s="7">
        <f t="shared" si="3"/>
        <v>0</v>
      </c>
      <c r="AJ51" s="7">
        <f t="shared" si="4"/>
        <v>0</v>
      </c>
      <c r="AK51" s="7">
        <f t="shared" si="5"/>
        <v>0</v>
      </c>
      <c r="AL51" s="12">
        <f t="shared" si="9"/>
        <v>0</v>
      </c>
      <c r="AM51" s="14" t="str">
        <f t="shared" si="7"/>
        <v>Passable</v>
      </c>
      <c r="AN51" s="86"/>
      <c r="AO51" s="88"/>
      <c r="AP51" s="10" t="s">
        <v>196</v>
      </c>
    </row>
    <row r="52" spans="1:42" ht="30" x14ac:dyDescent="0.25">
      <c r="A52" s="59">
        <v>44830</v>
      </c>
      <c r="C52" s="10">
        <v>4709790</v>
      </c>
      <c r="D52" s="10" t="s">
        <v>191</v>
      </c>
      <c r="E52" s="11">
        <v>9</v>
      </c>
      <c r="F52" s="39">
        <v>583782.12860000005</v>
      </c>
      <c r="G52" s="39">
        <v>6153478.7290000003</v>
      </c>
      <c r="H52" s="11" t="s">
        <v>195</v>
      </c>
      <c r="I52" s="11" t="s">
        <v>192</v>
      </c>
      <c r="J52" s="22">
        <v>34</v>
      </c>
      <c r="L52" s="10" t="s">
        <v>95</v>
      </c>
      <c r="M52" s="10" t="s">
        <v>101</v>
      </c>
      <c r="N52" s="21">
        <v>4.8</v>
      </c>
      <c r="O52" s="21">
        <v>18</v>
      </c>
      <c r="P52" s="86"/>
      <c r="Q52" s="88"/>
      <c r="R52" s="86"/>
      <c r="S52" s="86"/>
      <c r="T52" s="88"/>
      <c r="U52" s="88"/>
      <c r="V52" s="86"/>
      <c r="W52" s="88"/>
      <c r="X52" s="86"/>
      <c r="Y52" s="88"/>
      <c r="Z52" s="88"/>
      <c r="AA52" s="86"/>
      <c r="AB52" s="10" t="s">
        <v>96</v>
      </c>
      <c r="AC52" s="10" t="s">
        <v>96</v>
      </c>
      <c r="AD52" s="86"/>
      <c r="AE52" s="86"/>
      <c r="AF52" s="20">
        <f t="shared" si="8"/>
        <v>0</v>
      </c>
      <c r="AG52" s="13">
        <f t="shared" si="1"/>
        <v>3</v>
      </c>
      <c r="AH52" s="7">
        <f t="shared" si="2"/>
        <v>0</v>
      </c>
      <c r="AI52" s="7">
        <f t="shared" si="3"/>
        <v>0</v>
      </c>
      <c r="AJ52" s="7">
        <f t="shared" si="4"/>
        <v>0</v>
      </c>
      <c r="AK52" s="7">
        <f t="shared" si="5"/>
        <v>0</v>
      </c>
      <c r="AL52" s="12">
        <f t="shared" si="9"/>
        <v>3</v>
      </c>
      <c r="AM52" s="14" t="str">
        <f t="shared" si="7"/>
        <v>Passable</v>
      </c>
      <c r="AN52" s="86"/>
      <c r="AO52" s="88"/>
      <c r="AP52" s="89">
        <v>0.4680555555555555</v>
      </c>
    </row>
    <row r="53" spans="1:42" ht="30" x14ac:dyDescent="0.25">
      <c r="A53" s="59">
        <v>44830</v>
      </c>
      <c r="C53" s="10">
        <v>8302244</v>
      </c>
      <c r="D53" s="10" t="s">
        <v>191</v>
      </c>
      <c r="E53" s="11">
        <v>9</v>
      </c>
      <c r="F53" s="39">
        <v>583847.89619999996</v>
      </c>
      <c r="G53" s="39">
        <v>6153431.7350000003</v>
      </c>
      <c r="H53" s="11" t="s">
        <v>195</v>
      </c>
      <c r="I53" s="11" t="s">
        <v>192</v>
      </c>
      <c r="J53" s="22">
        <v>34</v>
      </c>
      <c r="L53" s="10" t="s">
        <v>95</v>
      </c>
      <c r="M53" s="10" t="s">
        <v>101</v>
      </c>
      <c r="N53" s="21">
        <v>4.8</v>
      </c>
      <c r="O53" s="21">
        <v>10.6</v>
      </c>
      <c r="P53" s="86"/>
      <c r="Q53" s="88"/>
      <c r="R53" s="86"/>
      <c r="S53" s="86"/>
      <c r="T53" s="88"/>
      <c r="U53" s="88"/>
      <c r="V53" s="86"/>
      <c r="W53" s="88"/>
      <c r="X53" s="86"/>
      <c r="Y53" s="88"/>
      <c r="Z53" s="88"/>
      <c r="AA53" s="86"/>
      <c r="AB53" s="10" t="s">
        <v>96</v>
      </c>
      <c r="AC53" s="10" t="s">
        <v>96</v>
      </c>
      <c r="AD53" s="86"/>
      <c r="AE53" s="86"/>
      <c r="AF53" s="20">
        <f t="shared" si="8"/>
        <v>0</v>
      </c>
      <c r="AG53" s="13">
        <f t="shared" si="1"/>
        <v>0</v>
      </c>
      <c r="AH53" s="7">
        <f t="shared" si="2"/>
        <v>0</v>
      </c>
      <c r="AI53" s="7">
        <f t="shared" si="3"/>
        <v>0</v>
      </c>
      <c r="AJ53" s="7">
        <f t="shared" si="4"/>
        <v>0</v>
      </c>
      <c r="AK53" s="7">
        <f t="shared" si="5"/>
        <v>0</v>
      </c>
      <c r="AL53" s="12">
        <f t="shared" si="9"/>
        <v>0</v>
      </c>
      <c r="AM53" s="14" t="str">
        <f t="shared" si="7"/>
        <v>Passable</v>
      </c>
      <c r="AN53" s="86"/>
      <c r="AO53" s="88"/>
      <c r="AP53" s="10" t="s">
        <v>197</v>
      </c>
    </row>
    <row r="54" spans="1:42" ht="30" x14ac:dyDescent="0.25">
      <c r="A54" s="59">
        <v>44809</v>
      </c>
      <c r="C54" s="10">
        <v>8300390</v>
      </c>
      <c r="D54" s="10" t="s">
        <v>198</v>
      </c>
      <c r="E54" s="11">
        <v>9</v>
      </c>
      <c r="F54" s="39">
        <v>570745.12124158803</v>
      </c>
      <c r="G54" s="39">
        <v>6149438.0131760295</v>
      </c>
      <c r="H54" s="11" t="s">
        <v>204</v>
      </c>
      <c r="I54" s="11" t="s">
        <v>199</v>
      </c>
      <c r="J54" s="22">
        <v>0.5</v>
      </c>
      <c r="L54" s="10" t="s">
        <v>92</v>
      </c>
      <c r="M54" s="10" t="s">
        <v>99</v>
      </c>
      <c r="N54" s="88"/>
      <c r="O54" s="88"/>
      <c r="P54" s="86"/>
      <c r="Q54" s="88"/>
      <c r="R54" s="86"/>
      <c r="S54" s="86"/>
      <c r="T54" s="88"/>
      <c r="U54" s="88"/>
      <c r="V54" s="86"/>
      <c r="W54" s="88"/>
      <c r="X54" s="86"/>
      <c r="Y54" s="88"/>
      <c r="Z54" s="88"/>
      <c r="AA54" s="86"/>
      <c r="AB54" s="10" t="s">
        <v>96</v>
      </c>
      <c r="AC54" s="10" t="s">
        <v>96</v>
      </c>
      <c r="AD54" s="86"/>
      <c r="AE54" s="86"/>
      <c r="AF54" s="20">
        <f t="shared" si="8"/>
        <v>0</v>
      </c>
      <c r="AG54" s="13">
        <f t="shared" si="1"/>
        <v>0</v>
      </c>
      <c r="AH54" s="7">
        <f t="shared" si="2"/>
        <v>0</v>
      </c>
      <c r="AI54" s="7">
        <f t="shared" si="3"/>
        <v>0</v>
      </c>
      <c r="AJ54" s="7">
        <f t="shared" si="4"/>
        <v>0</v>
      </c>
      <c r="AK54" s="7">
        <f t="shared" si="5"/>
        <v>0</v>
      </c>
      <c r="AL54" s="12">
        <f t="shared" si="9"/>
        <v>0</v>
      </c>
      <c r="AM54" s="14" t="str">
        <f t="shared" si="7"/>
        <v>Unknown</v>
      </c>
      <c r="AP54" s="10" t="s">
        <v>205</v>
      </c>
    </row>
    <row r="55" spans="1:42" ht="30" x14ac:dyDescent="0.25">
      <c r="A55" s="59">
        <v>44811</v>
      </c>
      <c r="C55" s="10">
        <v>8300108</v>
      </c>
      <c r="D55" s="10" t="s">
        <v>206</v>
      </c>
      <c r="E55" s="11">
        <v>9</v>
      </c>
      <c r="F55" s="39">
        <v>575356.84552120697</v>
      </c>
      <c r="G55" s="39">
        <v>6152461.8224209696</v>
      </c>
      <c r="H55" s="11" t="s">
        <v>207</v>
      </c>
      <c r="I55" s="11" t="s">
        <v>120</v>
      </c>
      <c r="L55" s="10" t="s">
        <v>98</v>
      </c>
      <c r="M55" s="10" t="s">
        <v>104</v>
      </c>
      <c r="N55" s="21">
        <v>0.5</v>
      </c>
      <c r="O55" s="21">
        <v>14</v>
      </c>
      <c r="P55" s="10" t="s">
        <v>96</v>
      </c>
      <c r="Q55" s="88"/>
      <c r="R55" s="10" t="s">
        <v>96</v>
      </c>
      <c r="S55" s="10" t="s">
        <v>96</v>
      </c>
      <c r="T55" s="88"/>
      <c r="U55" s="21">
        <v>1</v>
      </c>
      <c r="V55" s="10">
        <v>0.1</v>
      </c>
      <c r="W55" s="21">
        <v>0.3</v>
      </c>
      <c r="X55" s="10" t="s">
        <v>96</v>
      </c>
      <c r="Y55" s="21">
        <v>3</v>
      </c>
      <c r="Z55" s="21">
        <v>1.9</v>
      </c>
      <c r="AA55" s="10">
        <v>2.5</v>
      </c>
      <c r="AB55" s="10" t="s">
        <v>96</v>
      </c>
      <c r="AC55" s="10" t="s">
        <v>102</v>
      </c>
      <c r="AD55" s="10" t="s">
        <v>105</v>
      </c>
      <c r="AE55" s="10" t="s">
        <v>106</v>
      </c>
      <c r="AF55" s="20">
        <f t="shared" si="8"/>
        <v>3.8</v>
      </c>
      <c r="AG55" s="13">
        <f t="shared" si="1"/>
        <v>0</v>
      </c>
      <c r="AH55" s="7">
        <f t="shared" si="2"/>
        <v>10</v>
      </c>
      <c r="AI55" s="7">
        <f t="shared" si="3"/>
        <v>0</v>
      </c>
      <c r="AJ55" s="7">
        <f t="shared" si="4"/>
        <v>10</v>
      </c>
      <c r="AK55" s="7">
        <f t="shared" si="5"/>
        <v>6</v>
      </c>
      <c r="AL55" s="12">
        <f t="shared" si="9"/>
        <v>26</v>
      </c>
      <c r="AM55" s="14" t="str">
        <f t="shared" si="7"/>
        <v>Barrier</v>
      </c>
      <c r="AP55" s="10" t="s">
        <v>208</v>
      </c>
    </row>
    <row r="56" spans="1:42" ht="30" x14ac:dyDescent="0.25">
      <c r="A56" s="59">
        <v>44810</v>
      </c>
      <c r="C56" s="10">
        <v>8302755</v>
      </c>
      <c r="D56" s="10" t="s">
        <v>148</v>
      </c>
      <c r="E56" s="11">
        <v>9</v>
      </c>
      <c r="F56" s="39">
        <v>534422.15518482297</v>
      </c>
      <c r="G56" s="39">
        <v>6178964.8854749901</v>
      </c>
      <c r="H56" s="11" t="s">
        <v>209</v>
      </c>
      <c r="I56" s="11" t="s">
        <v>210</v>
      </c>
      <c r="L56" s="10" t="s">
        <v>95</v>
      </c>
      <c r="M56" s="10" t="s">
        <v>101</v>
      </c>
      <c r="N56" s="21">
        <v>9</v>
      </c>
      <c r="O56" s="21">
        <v>5.5</v>
      </c>
      <c r="P56" s="86"/>
      <c r="Q56" s="88"/>
      <c r="R56" s="86"/>
      <c r="S56" s="86"/>
      <c r="T56" s="88"/>
      <c r="U56" s="88"/>
      <c r="V56" s="86"/>
      <c r="W56" s="88"/>
      <c r="X56" s="86"/>
      <c r="Y56" s="88"/>
      <c r="Z56" s="88"/>
      <c r="AA56" s="86"/>
      <c r="AB56" s="10" t="s">
        <v>96</v>
      </c>
      <c r="AC56" s="10" t="s">
        <v>96</v>
      </c>
      <c r="AD56" s="86"/>
      <c r="AE56" s="86"/>
      <c r="AF56" s="20">
        <f t="shared" si="8"/>
        <v>0</v>
      </c>
      <c r="AG56" s="13">
        <f t="shared" si="1"/>
        <v>0</v>
      </c>
      <c r="AH56" s="7">
        <f t="shared" si="2"/>
        <v>0</v>
      </c>
      <c r="AI56" s="7">
        <f t="shared" si="3"/>
        <v>0</v>
      </c>
      <c r="AJ56" s="7">
        <f t="shared" si="4"/>
        <v>0</v>
      </c>
      <c r="AK56" s="7">
        <f t="shared" si="5"/>
        <v>0</v>
      </c>
      <c r="AL56" s="12">
        <f t="shared" si="9"/>
        <v>0</v>
      </c>
      <c r="AM56" s="14" t="str">
        <f t="shared" si="7"/>
        <v>Passable</v>
      </c>
      <c r="AN56" s="86"/>
      <c r="AO56" s="88"/>
      <c r="AP56" s="10" t="s">
        <v>211</v>
      </c>
    </row>
    <row r="57" spans="1:42" ht="30" x14ac:dyDescent="0.25">
      <c r="A57" s="59">
        <v>44810</v>
      </c>
      <c r="C57" s="10">
        <v>8302410</v>
      </c>
      <c r="D57" s="10" t="s">
        <v>148</v>
      </c>
      <c r="E57" s="11">
        <v>9</v>
      </c>
      <c r="F57" s="39">
        <v>553739.97230588202</v>
      </c>
      <c r="G57" s="39">
        <v>6161966.3651549499</v>
      </c>
      <c r="H57" s="11" t="s">
        <v>150</v>
      </c>
      <c r="I57" s="11" t="s">
        <v>164</v>
      </c>
      <c r="L57" s="10" t="s">
        <v>95</v>
      </c>
      <c r="M57" s="10" t="s">
        <v>101</v>
      </c>
      <c r="N57" s="21">
        <v>15.5</v>
      </c>
      <c r="O57" s="21">
        <v>4.5</v>
      </c>
      <c r="P57" s="86"/>
      <c r="Q57" s="88"/>
      <c r="R57" s="86"/>
      <c r="S57" s="86"/>
      <c r="T57" s="88"/>
      <c r="U57" s="88"/>
      <c r="V57" s="86"/>
      <c r="W57" s="88"/>
      <c r="X57" s="86"/>
      <c r="Y57" s="88"/>
      <c r="Z57" s="88"/>
      <c r="AA57" s="86"/>
      <c r="AB57" s="10" t="s">
        <v>96</v>
      </c>
      <c r="AC57" s="10" t="s">
        <v>96</v>
      </c>
      <c r="AD57" s="86"/>
      <c r="AE57" s="86"/>
      <c r="AF57" s="20">
        <f t="shared" si="8"/>
        <v>0</v>
      </c>
      <c r="AG57" s="13">
        <f t="shared" si="1"/>
        <v>0</v>
      </c>
      <c r="AH57" s="7">
        <f t="shared" si="2"/>
        <v>0</v>
      </c>
      <c r="AI57" s="7">
        <f t="shared" si="3"/>
        <v>0</v>
      </c>
      <c r="AJ57" s="7">
        <f t="shared" si="4"/>
        <v>0</v>
      </c>
      <c r="AK57" s="7">
        <f t="shared" si="5"/>
        <v>0</v>
      </c>
      <c r="AL57" s="12">
        <f t="shared" si="9"/>
        <v>0</v>
      </c>
      <c r="AM57" s="14" t="str">
        <f t="shared" si="7"/>
        <v>Passable</v>
      </c>
      <c r="AN57" s="86"/>
      <c r="AO57" s="88"/>
      <c r="AP57" s="10" t="s">
        <v>212</v>
      </c>
    </row>
    <row r="58" spans="1:42" x14ac:dyDescent="0.25">
      <c r="A58" s="59">
        <v>44811</v>
      </c>
      <c r="C58" s="10">
        <v>8302779</v>
      </c>
      <c r="D58" s="10" t="s">
        <v>93</v>
      </c>
      <c r="E58" s="11">
        <v>9</v>
      </c>
      <c r="F58" s="39">
        <v>564361.86308897997</v>
      </c>
      <c r="G58" s="39">
        <v>6167112.8439104296</v>
      </c>
      <c r="H58" s="11" t="s">
        <v>213</v>
      </c>
      <c r="I58" s="11" t="s">
        <v>214</v>
      </c>
      <c r="L58" s="10" t="s">
        <v>95</v>
      </c>
      <c r="M58" s="10" t="s">
        <v>101</v>
      </c>
      <c r="N58" s="21">
        <v>4</v>
      </c>
      <c r="O58" s="21">
        <v>3</v>
      </c>
      <c r="P58" s="86"/>
      <c r="Q58" s="88"/>
      <c r="R58" s="86"/>
      <c r="S58" s="86"/>
      <c r="T58" s="88"/>
      <c r="U58" s="88"/>
      <c r="V58" s="86"/>
      <c r="W58" s="88"/>
      <c r="X58" s="86"/>
      <c r="Y58" s="88"/>
      <c r="Z58" s="88"/>
      <c r="AA58" s="86"/>
      <c r="AB58" s="10" t="s">
        <v>96</v>
      </c>
      <c r="AC58" s="10" t="s">
        <v>96</v>
      </c>
      <c r="AD58" s="86"/>
      <c r="AE58" s="86"/>
      <c r="AF58" s="20">
        <f t="shared" si="8"/>
        <v>0</v>
      </c>
      <c r="AG58" s="13">
        <f t="shared" si="1"/>
        <v>0</v>
      </c>
      <c r="AH58" s="7">
        <f t="shared" si="2"/>
        <v>0</v>
      </c>
      <c r="AI58" s="7">
        <f t="shared" si="3"/>
        <v>0</v>
      </c>
      <c r="AJ58" s="7">
        <f t="shared" si="4"/>
        <v>0</v>
      </c>
      <c r="AK58" s="7">
        <f t="shared" si="5"/>
        <v>0</v>
      </c>
      <c r="AL58" s="12">
        <f t="shared" si="9"/>
        <v>0</v>
      </c>
      <c r="AM58" s="14" t="str">
        <f t="shared" si="7"/>
        <v>Passable</v>
      </c>
      <c r="AN58" s="86"/>
      <c r="AO58" s="88"/>
      <c r="AP58" s="10" t="s">
        <v>218</v>
      </c>
    </row>
    <row r="59" spans="1:42" ht="30" x14ac:dyDescent="0.25">
      <c r="A59" s="59">
        <v>44811</v>
      </c>
      <c r="C59" s="10">
        <v>8301892</v>
      </c>
      <c r="D59" s="10" t="s">
        <v>93</v>
      </c>
      <c r="E59" s="11">
        <v>9</v>
      </c>
      <c r="F59" s="39">
        <v>569230.10432952899</v>
      </c>
      <c r="G59" s="39">
        <v>6166554.36250732</v>
      </c>
      <c r="H59" s="11" t="s">
        <v>215</v>
      </c>
      <c r="I59" s="11" t="s">
        <v>216</v>
      </c>
      <c r="L59" s="10" t="s">
        <v>95</v>
      </c>
      <c r="M59" s="10" t="s">
        <v>101</v>
      </c>
      <c r="N59" s="21">
        <v>3.5</v>
      </c>
      <c r="O59" s="21">
        <v>6</v>
      </c>
      <c r="P59" s="86"/>
      <c r="Q59" s="88"/>
      <c r="R59" s="86"/>
      <c r="S59" s="86"/>
      <c r="T59" s="88"/>
      <c r="U59" s="88"/>
      <c r="V59" s="86"/>
      <c r="W59" s="88"/>
      <c r="X59" s="86"/>
      <c r="Y59" s="88"/>
      <c r="Z59" s="88"/>
      <c r="AA59" s="86"/>
      <c r="AB59" s="10" t="s">
        <v>96</v>
      </c>
      <c r="AC59" s="10" t="s">
        <v>96</v>
      </c>
      <c r="AD59" s="86"/>
      <c r="AE59" s="86"/>
      <c r="AF59" s="20">
        <f t="shared" si="8"/>
        <v>0</v>
      </c>
      <c r="AG59" s="13">
        <f t="shared" si="1"/>
        <v>0</v>
      </c>
      <c r="AH59" s="7">
        <f t="shared" si="2"/>
        <v>0</v>
      </c>
      <c r="AI59" s="7">
        <f t="shared" si="3"/>
        <v>0</v>
      </c>
      <c r="AJ59" s="7">
        <f t="shared" si="4"/>
        <v>0</v>
      </c>
      <c r="AK59" s="7">
        <f t="shared" si="5"/>
        <v>0</v>
      </c>
      <c r="AL59" s="12">
        <f t="shared" si="9"/>
        <v>0</v>
      </c>
      <c r="AM59" s="14" t="str">
        <f t="shared" si="7"/>
        <v>Passable</v>
      </c>
      <c r="AN59" s="86"/>
      <c r="AO59" s="88"/>
      <c r="AP59" s="10" t="s">
        <v>217</v>
      </c>
    </row>
    <row r="60" spans="1:42" x14ac:dyDescent="0.25">
      <c r="A60" s="59">
        <v>44813</v>
      </c>
      <c r="C60" s="10">
        <v>8302212</v>
      </c>
      <c r="D60" s="10" t="s">
        <v>148</v>
      </c>
      <c r="E60" s="11">
        <v>9</v>
      </c>
      <c r="F60" s="39">
        <v>550746.79350392602</v>
      </c>
      <c r="G60" s="39">
        <v>6141256.4392585102</v>
      </c>
      <c r="H60" s="11" t="s">
        <v>219</v>
      </c>
      <c r="I60" s="11" t="s">
        <v>199</v>
      </c>
      <c r="L60" s="10" t="s">
        <v>95</v>
      </c>
      <c r="M60" s="10" t="s">
        <v>101</v>
      </c>
      <c r="N60" s="21">
        <v>14</v>
      </c>
      <c r="O60" s="21">
        <v>5</v>
      </c>
      <c r="AB60" s="10" t="s">
        <v>96</v>
      </c>
      <c r="AC60" s="10" t="s">
        <v>96</v>
      </c>
      <c r="AF60" s="20">
        <f t="shared" si="8"/>
        <v>0</v>
      </c>
      <c r="AG60" s="13">
        <f t="shared" si="1"/>
        <v>0</v>
      </c>
      <c r="AH60" s="7">
        <f t="shared" si="2"/>
        <v>0</v>
      </c>
      <c r="AI60" s="7">
        <f t="shared" si="3"/>
        <v>0</v>
      </c>
      <c r="AJ60" s="7">
        <f t="shared" si="4"/>
        <v>0</v>
      </c>
      <c r="AK60" s="7">
        <f t="shared" si="5"/>
        <v>0</v>
      </c>
      <c r="AL60" s="12">
        <f t="shared" si="9"/>
        <v>0</v>
      </c>
      <c r="AM60" s="14" t="str">
        <f t="shared" si="7"/>
        <v>Passable</v>
      </c>
      <c r="AP60" s="10" t="s">
        <v>220</v>
      </c>
    </row>
    <row r="61" spans="1:42" ht="30" x14ac:dyDescent="0.25">
      <c r="A61" s="59">
        <v>44813</v>
      </c>
      <c r="C61" s="10">
        <v>8301994</v>
      </c>
      <c r="D61" s="10" t="s">
        <v>171</v>
      </c>
      <c r="E61" s="11">
        <v>9</v>
      </c>
      <c r="F61" s="39">
        <v>550299.97770000005</v>
      </c>
      <c r="G61" s="39">
        <v>6140708.1220000004</v>
      </c>
      <c r="H61" s="11" t="s">
        <v>139</v>
      </c>
      <c r="I61" s="11" t="s">
        <v>221</v>
      </c>
      <c r="L61" s="10" t="s">
        <v>98</v>
      </c>
      <c r="M61" s="10" t="s">
        <v>104</v>
      </c>
      <c r="N61" s="21">
        <v>0.85</v>
      </c>
      <c r="O61" s="21">
        <v>10</v>
      </c>
      <c r="P61" s="10" t="s">
        <v>96</v>
      </c>
      <c r="U61" s="21">
        <v>1</v>
      </c>
      <c r="V61" s="10">
        <v>0.6</v>
      </c>
      <c r="W61" s="21">
        <v>0.7</v>
      </c>
      <c r="X61" s="10" t="s">
        <v>102</v>
      </c>
      <c r="Y61" s="21">
        <v>3.5</v>
      </c>
      <c r="Z61" s="21">
        <v>5.6</v>
      </c>
      <c r="AA61" s="10">
        <v>1.5</v>
      </c>
      <c r="AB61" s="10" t="s">
        <v>102</v>
      </c>
      <c r="AC61" s="10" t="s">
        <v>96</v>
      </c>
      <c r="AD61" s="10" t="s">
        <v>105</v>
      </c>
      <c r="AE61" s="10" t="s">
        <v>140</v>
      </c>
      <c r="AF61" s="20">
        <f t="shared" si="8"/>
        <v>6.5882352941176467</v>
      </c>
      <c r="AG61" s="13">
        <f t="shared" si="1"/>
        <v>0</v>
      </c>
      <c r="AH61" s="7">
        <f t="shared" si="2"/>
        <v>10</v>
      </c>
      <c r="AI61" s="7">
        <f t="shared" si="3"/>
        <v>10</v>
      </c>
      <c r="AJ61" s="7">
        <f t="shared" si="4"/>
        <v>10</v>
      </c>
      <c r="AK61" s="7">
        <f t="shared" si="5"/>
        <v>6</v>
      </c>
      <c r="AL61" s="12">
        <f t="shared" si="9"/>
        <v>36</v>
      </c>
      <c r="AM61" s="14" t="str">
        <f t="shared" si="7"/>
        <v>Barrier</v>
      </c>
      <c r="AP61" s="10" t="s">
        <v>180</v>
      </c>
    </row>
    <row r="62" spans="1:42"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42"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42"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aoO6UcufeQnzCRMurLzMzIWNHJnpQa1yvDcqgodVul4og/I51ZqGeYkIklpQol3PVdoEnYkvsIP2Z7xRRacMqw==" saltValue="FWxF/l71TnggxDlv1gi+y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1">
    <dataValidation type="list" allowBlank="1" showInputMessage="1" showErrorMessage="1" sqref="AM5284:AM65536" xr:uid="{00000000-0002-0000-0200-000000000000}">
      <formula1>"Passable, Potential, Barrier, Unkown"</formula1>
    </dataValidation>
    <dataValidation type="list" allowBlank="1" showInputMessage="1" showErrorMessage="1" sqref="M37 M60: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7 Q60: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 N37 N60: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4 Q30 Q28 Q23 Q49 Q44" xr:uid="{00000000-0002-0000-0200-00000E000000}">
      <formula1>0.01</formula1>
      <formula2>0.79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value entered" error="The Average Depth Embededdment you entered is invalid. The Average Depth Embededdment must be &lt;= 0.99 and &gt;= 0.01" sqref="Q5 Q29" xr:uid="{00000000-0002-0000-0200-000038000000}">
      <formula1>0.01</formula1>
      <formula2>0.99</formula2>
    </dataValidation>
    <dataValidation type="decimal" allowBlank="1" showInputMessage="1" showErrorMessage="1" errorTitle="Invalid Diamter or Span" error="The Diameter or Span entered is invalid. Diameter or Span must be &gt; 0 and &lt; 100" sqref="N36 N5:N6 N51:N53 N56:N59" xr:uid="{D20F84C0-28CC-48F2-90DD-DF1FDF42345C}">
      <formula1>0.01</formula1>
      <formula2>100</formula2>
    </dataValidation>
    <dataValidation type="list" allowBlank="1" showInputMessage="1" showErrorMessage="1" errorTitle="Invalid value entered" error="The crossing subtype is not compatible with a crossing type of Other" sqref="M5 M14 M48 M54" xr:uid="{801FDE02-A11C-4CA8-868B-A25CB52C8A5F}">
      <formula1>"Ford"</formula1>
    </dataValidation>
    <dataValidation type="list" allowBlank="1" showInputMessage="1" showErrorMessage="1" errorTitle="Invalid value entered" error="The crossing subtype is not compatible with a crossing type of Open Bottom Structure" sqref="M6 M36 M51:M53 M56:M59" xr:uid="{1C3F55A0-5F3C-44F3-B697-980F8E6DC961}">
      <formula1>"Bridge, Pipe Arch, Wood Box Culvert"</formula1>
    </dataValidation>
    <dataValidation type="decimal" allowBlank="1" showInputMessage="1" showErrorMessage="1" errorTitle="Invalid value entered" error="The Average Depth Embededdment you entered is invalid. The Average Depth Embededdment must be &lt;= 3.99 and &gt;= 0.01" sqref="Q6 Q58" xr:uid="{6C805FB1-9C2B-4972-9EB7-4C671E6106B3}">
      <formula1>0.01</formula1>
      <formula2>3.99</formula2>
    </dataValidation>
    <dataValidation type="list" allowBlank="1" showInputMessage="1" showErrorMessage="1" errorTitle="Invalid value entered" error="The crossing subtype is not compatible with a crossing type of Closed Bottom Structure" sqref="M15:M35 M7:M13 M49:M50 M38:M47 M55" xr:uid="{A9A4BF0C-55BB-4B96-BF6B-F5230F31B4BD}">
      <formula1>"Round Culvert,Oval Culvert,Concrete Box"</formula1>
    </dataValidation>
    <dataValidation type="decimal" allowBlank="1" showInputMessage="1" showErrorMessage="1" errorTitle="Invalid Diamter or Span" error="The Diameter or Span entered is invalid. Diameter or Span must be &gt; 0 and &lt; 300" sqref="N15:N35 N7:N13 N38:N50 N54:N55" xr:uid="{9A22C19C-1B60-4478-976F-CAC0BAD972B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7 Q32:Q34 Q21:Q22" xr:uid="{74A1C40B-712E-4594-BB9A-FBA1D71AE76D}">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24 Q17 Q15 Q8:Q9 Q43" xr:uid="{DEFAFB8A-FFB4-4486-A371-F7A811D31867}">
      <formula1>0.01</formula1>
      <formula2>0.59</formula2>
    </dataValidation>
    <dataValidation type="decimal" allowBlank="1" showInputMessage="1" showErrorMessage="1" errorTitle="Invalid value entered" error="The Average Depth Embededdment you entered is invalid. The Average Depth Embededdment must be &lt;= 0.69 and &gt;= 0.01" sqref="Q10:Q11" xr:uid="{D51F68B0-EB3C-4E34-9049-56B7689090B3}">
      <formula1>0.01</formula1>
      <formula2>0.69</formula2>
    </dataValidation>
    <dataValidation type="decimal" allowBlank="1" showInputMessage="1" showErrorMessage="1" errorTitle="Invalid value entered" error="The Average Depth Embededdment you entered is invalid. The Average Depth Embededdment must be &lt;= 0.39 and &gt;= 0.01" sqref="Q12" xr:uid="{7D95D4FB-D8C2-49B3-A79A-E40D7131E364}">
      <formula1>0.01</formula1>
      <formula2>0.39</formula2>
    </dataValidation>
    <dataValidation type="decimal" allowBlank="1" showInputMessage="1" showErrorMessage="1" errorTitle="Invalid value entered" error="The Average Depth Embededdment you entered is invalid. The Average Depth Embededdment must be &lt;= 1.09 and &gt;= 0.01" sqref="Q13" xr:uid="{5B1B666A-D3F5-4FD1-86AA-8ED6FC6DC9A9}">
      <formula1>0.01</formula1>
      <formula2>1.09</formula2>
    </dataValidation>
    <dataValidation type="decimal" allowBlank="1" showInputMessage="1" showErrorMessage="1" errorTitle="Invalid value entered" error="The Average Depth Embededdment you entered is invalid. The Average Depth Embededdment must be &lt;= 0.49 and &gt;= 0.01" sqref="Q16 Q38 Q55" xr:uid="{2AD2804D-AA25-420B-8222-68297415F7A0}">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27 Q18:Q19" xr:uid="{C30FA431-2BFF-483D-8D69-637892B62084}">
      <formula1>0.01</formula1>
      <formula2>1.19</formula2>
    </dataValidation>
    <dataValidation type="decimal" allowBlank="1" showInputMessage="1" showErrorMessage="1" errorTitle="Invalid value entered" error="The Average Depth Embededdment you entered is invalid. The Average Depth Embededdment must be &lt;= 0.64 and &gt;= 0.01" sqref="Q20 Q31" xr:uid="{E349BBC5-95AD-4D4A-854E-983A18C45FF4}">
      <formula1>0.01</formula1>
      <formula2>0.64</formula2>
    </dataValidation>
    <dataValidation type="decimal" allowBlank="1" showInputMessage="1" showErrorMessage="1" errorTitle="Invalid value entered" error="The Average Depth Embededdment you entered is invalid. The Average Depth Embededdment must be &lt;= 2.79 and &gt;= 0.01" sqref="Q25" xr:uid="{2825AB97-56BF-4572-B457-BB19B963FD99}">
      <formula1>0.01</formula1>
      <formula2>2.79</formula2>
    </dataValidation>
    <dataValidation type="decimal" allowBlank="1" showInputMessage="1" showErrorMessage="1" errorTitle="Invalid value entered" error="The Average Depth Embededdment you entered is invalid. The Average Depth Embededdment must be &lt;= 1.59 and &gt;= 0.01" sqref="Q26" xr:uid="{8206A332-0B8B-4704-AE8D-34FADFDBE9AC}">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35 Q46" xr:uid="{501F4D54-54F9-48D6-A138-88D3AD5EDD9B}">
      <formula1>0.01</formula1>
      <formula2>1.29</formula2>
    </dataValidation>
    <dataValidation type="decimal" allowBlank="1" showInputMessage="1" showErrorMessage="1" errorTitle="Invalid value entered" error="The Average Depth Embededdment you entered is invalid. The Average Depth Embededdment must be &lt;= 5.99 and &gt;= 0.01" sqref="Q36" xr:uid="{4FF1DDEB-061A-4EBF-8A8F-7AECD863D921}">
      <formula1>0.01</formula1>
      <formula2>5.99</formula2>
    </dataValidation>
    <dataValidation type="decimal" allowBlank="1" showInputMessage="1" showErrorMessage="1" errorTitle="Invalid value entered" error="The Average Depth Embededdment you entered is invalid. The Average Depth Embededdment must be &lt;= 0.94 and &gt;= 0.01" sqref="Q39" xr:uid="{10B01D56-5CCC-40A5-8780-37546E4954E3}">
      <formula1>0.01</formula1>
      <formula2>0.94</formula2>
    </dataValidation>
    <dataValidation type="decimal" allowBlank="1" showInputMessage="1" showErrorMessage="1" errorTitle="Invalid value entered" error="The Average Depth Embededdment you entered is invalid. The Average Depth Embededdment must be &lt;= 3.69 and &gt;= 0.01" sqref="Q40" xr:uid="{5DC1FA4E-1627-4F32-A3D4-3467207C5A57}">
      <formula1>0.01</formula1>
      <formula2>3.69</formula2>
    </dataValidation>
    <dataValidation type="decimal" allowBlank="1" showInputMessage="1" showErrorMessage="1" errorTitle="Invalid value entered" error="The Average Depth Embededdment you entered is invalid. The Average Depth Embededdment must be &lt;= 1.99 and &gt;= 0.01" sqref="Q41" xr:uid="{34DAA101-85DF-4AE3-A4BF-892CB4477B10}">
      <formula1>0.01</formula1>
      <formula2>1.99</formula2>
    </dataValidation>
    <dataValidation type="decimal" allowBlank="1" showInputMessage="1" showErrorMessage="1" errorTitle="Invalid value entered" error="The Average Depth Embededdment you entered is invalid. The Average Depth Embededdment must be &lt;= 2.49 and &gt;= 0.01" sqref="Q42" xr:uid="{19EC9CE2-D77A-4EC8-8DA9-DFC898161B73}">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45 Q51:Q53" xr:uid="{1BD261CC-B07C-43AA-AC22-2E42D9F8EE1D}">
      <formula1>0.01</formula1>
      <formula2>4.79</formula2>
    </dataValidation>
    <dataValidation type="decimal" allowBlank="1" showInputMessage="1" showErrorMessage="1" errorTitle="Invalid value entered" error="The Average Depth Embededdment you entered is invalid. The Average Depth Embededdment must be &lt;= 1.79 and &gt;= 0.01" sqref="Q48" xr:uid="{E08A350A-D52A-46D1-A6B1-9C2FF54B28A2}">
      <formula1>0.01</formula1>
      <formula2>1.79</formula2>
    </dataValidation>
    <dataValidation type="decimal" allowBlank="1" showInputMessage="1" showErrorMessage="1" errorTitle="Invalid value entered" error="The Average Depth Embededdment you entered is invalid. The Average Depth Embededdment must be &lt;= 2.39 and &gt;= 0.01" sqref="Q50" xr:uid="{713E7D44-90E2-441D-ADDB-32554E17C8D3}">
      <formula1>0.01</formula1>
      <formula2>2.39</formula2>
    </dataValidation>
    <dataValidation type="decimal" allowBlank="1" showInputMessage="1" showErrorMessage="1" errorTitle="Invalid value entered" error="The Average Depth Embededdment you entered is invalid. The Average Depth Embededdment must be &lt;= 3.79 and &gt;= 0.01" sqref="Q54 Q47" xr:uid="{7A794850-7E3A-4C01-89D3-BAA7EDF2CD06}">
      <formula1>0.01</formula1>
      <formula2>3.79</formula2>
    </dataValidation>
    <dataValidation type="textLength" allowBlank="1" showInputMessage="1" showErrorMessage="1" errorTitle="Invalid Comment Length" error="The Comment length cannot exceed 4000 characters." sqref="AP5:AP53 AP55:AP65536" xr:uid="{00000000-0002-0000-0200-00001D000000}">
      <formula1>0</formula1>
      <formula2>4000</formula2>
    </dataValidation>
    <dataValidation type="decimal" allowBlank="1" showInputMessage="1" showErrorMessage="1" errorTitle="Invalid value entered" error="The Average Depth Embededdment you entered is invalid. The Average Depth Embededdment must be &lt;= 8.99 and &gt;= 0.01" sqref="Q56" xr:uid="{EC55FA02-EB7C-419A-A1B5-1580E42AD56A}">
      <formula1>0.01</formula1>
      <formula2>8.99</formula2>
    </dataValidation>
    <dataValidation type="decimal" allowBlank="1" showInputMessage="1" showErrorMessage="1" errorTitle="Invalid value entered" error="The Average Depth Embededdment you entered is invalid. The Average Depth Embededdment must be &lt;= 15.49 and &gt;= 0.01" sqref="Q57" xr:uid="{9238878A-EC4D-4B54-8094-DAAE8BEA015F}">
      <formula1>0.01</formula1>
      <formula2>15.49</formula2>
    </dataValidation>
    <dataValidation type="decimal" allowBlank="1" showInputMessage="1" showErrorMessage="1" errorTitle="Invalid value entered" error="The Average Depth Embededdment you entered is invalid. The Average Depth Embededdment must be &lt;= 3.49 and &gt;= 0.01" sqref="Q59" xr:uid="{42D44880-BE35-44BD-962C-EEAA9659C75F}">
      <formula1>0.01</formula1>
      <formula2>3.49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2022-11-01T22:56:43Z</dcterms:modified>
</cp:coreProperties>
</file>