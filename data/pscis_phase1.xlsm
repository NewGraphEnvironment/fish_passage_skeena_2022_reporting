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49-sern-skeena-fish-passage\data\"/>
    </mc:Choice>
  </mc:AlternateContent>
  <xr:revisionPtr revIDLastSave="0" documentId="13_ncr:1_{FAE92EDC-C670-45BC-A709-BF3345009295}"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45" i="2"/>
  <c r="AM45"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22" i="2"/>
  <c r="AM22" i="2" s="1"/>
  <c r="AL87" i="2"/>
  <c r="AL79" i="2"/>
  <c r="AL71" i="2"/>
  <c r="AL63" i="2"/>
  <c r="AL55" i="2"/>
  <c r="AL47" i="2"/>
  <c r="AM47" i="2" s="1"/>
  <c r="AL39" i="2"/>
  <c r="AM39" i="2" s="1"/>
  <c r="AL31" i="2"/>
  <c r="AM31" i="2" s="1"/>
  <c r="AL23" i="2"/>
  <c r="AM23" i="2" s="1"/>
  <c r="AL89" i="2"/>
  <c r="AL81" i="2"/>
  <c r="AL73" i="2"/>
  <c r="AL65" i="2"/>
  <c r="AL57" i="2"/>
  <c r="AL33" i="2"/>
  <c r="AM33" i="2" s="1"/>
  <c r="AL25" i="2"/>
  <c r="AM25" i="2" s="1"/>
  <c r="AL75" i="2"/>
  <c r="AL67" i="2"/>
  <c r="AL59" i="2"/>
  <c r="AL35" i="2"/>
  <c r="AM35" i="2" s="1"/>
  <c r="AL27" i="2"/>
  <c r="AM27" i="2" s="1"/>
  <c r="AL17" i="2"/>
  <c r="AM17" i="2" s="1"/>
  <c r="AL19" i="2"/>
  <c r="AM19" i="2" s="1"/>
  <c r="AL15" i="2"/>
  <c r="AM15"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64"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7" i="2"/>
  <c r="AM6" i="2"/>
  <c r="AL10" i="2"/>
  <c r="AM10" i="2" s="1"/>
  <c r="AL8" i="2"/>
  <c r="AM8" i="2" s="1"/>
  <c r="AL7" i="2"/>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1" i="2" l="1"/>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<sst xmlns="http://schemas.openxmlformats.org/spreadsheetml/2006/main" count="740" uniqueCount="205">
  <si>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</si>
  <si>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</si>
  <si>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</si>
  <si>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</si>
  <si>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</si>
  <si>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</si>
  <si>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</si>
  <si>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</si>
  <si>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</si>
  <si>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</si>
  <si>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</si>
  <si>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</si>
  <si>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</si>
  <si>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</si>
  <si>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</si>
  <si>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</si>
  <si>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</si>
  <si>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</si>
  <si>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</si>
  <si>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</si>
  <si>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</si>
  <si>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</si>
  <si>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</si>
  <si>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</si>
  <si>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</si>
  <si>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</si>
  <si>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</si>
  <si>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</si>
  <si>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</si>
  <si>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</si>
  <si>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</si>
  <si>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</si>
  <si>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</si>
  <si>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</si>
  <si>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</si>
  <si>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</si>
  <si>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</si>
  <si>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</si>
  <si>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</si>
  <si>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</si>
  <si>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</si>
  <si>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</si>
  <si>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</si>
  <si>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</si>
  <si>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</si>
  <si>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</si>
  <si>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</si>
  <si>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</si>
  <si>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</si>
  <si>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</si>
  <si>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</si>
  <si>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</si>
  <si>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</si>
  <si>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</si>
  <si>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</si>
  <si>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</si>
  <si>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</si>
  <si>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</si>
  <si>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</si>
  <si>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</si>
  <si>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</si>
  <si>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</si>
  <si>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</si>
  <si>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</si>
  <si>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</si>
  <si>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</si>
  <si>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</si>
  <si>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</si>
  <si>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</si>
  <si>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</si>
  <si>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</si>
  <si>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</si>
  <si>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</si>
  <si>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</si>
  <si>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</si>
  <si>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</si>
  <si>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</si>
  <si>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</si>
  <si>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</si>
  <si>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</si>
  <si>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</si>
  <si>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</si>
  <si>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</si>
  <si>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</si>
  <si>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</si>
  <si>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</si>
  <si>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</si>
  <si>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</si>
  <si>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</si>
  <si>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</si>
  <si>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</si>
  <si>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</si>
  <si>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</si>
  <si>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</si>
  <si>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</si>
  <si>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</si>
  <si>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</si>
  <si>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</si>
  <si>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</si>
  <si>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</si>
  <si>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</si>
  <si>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</si>
  <si>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</si>
  <si>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Helen Lake FSR</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</si>
  <si>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</si>
  <si>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</si>
  <si>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</si>
  <si>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</si>
  <si>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</si>
  <si>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</si>
  <si>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Big outlet drop with deep outlet pool. Some rusting in culvert and it's bent in the middle a little. 12:22</t>
  </si>
  <si>
    <t>Very little flow, shallow stream around culvert. Large amounts of woody debris blocking stream near inlet. Lots of cover around stream. 13:23</t>
  </si>
  <si>
    <t>Trib to McCully Creek</t>
  </si>
  <si>
    <t>Culvert is black and plastic. 14:16</t>
  </si>
  <si>
    <t>Poplar Park Road</t>
  </si>
  <si>
    <t>Drains into Pentz Lake, mostly dewatered. 15:22</t>
  </si>
  <si>
    <t>Some backwater, not a lot of flow. 15:39</t>
  </si>
  <si>
    <t>Big beaver dam right near inlet (about 2m in height). 16:12</t>
  </si>
  <si>
    <t>MW, AI</t>
  </si>
  <si>
    <t>Tributary to Footsore Lake</t>
  </si>
  <si>
    <t>Kispiox Valley Road</t>
  </si>
  <si>
    <t xml:space="preserve">Road has been deactivated with crossing polled. Lots of flow. 12:04       </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</si>
  <si>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</si>
  <si>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</si>
  <si>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</si>
  <si>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</si>
  <si>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</si>
  <si>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</si>
  <si>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</si>
  <si>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</si>
  <si>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</si>
  <si>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</si>
  <si>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</si>
  <si>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Date Creek FSR</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</si>
  <si>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</si>
  <si>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</si>
  <si>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</si>
  <si>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</si>
  <si>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Moore Road</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</si>
  <si>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</si>
  <si>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</si>
  <si>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</si>
  <si>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</si>
  <si>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</si>
  <si>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</si>
  <si>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</si>
  <si>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</si>
  <si>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</si>
  <si>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</si>
  <si>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 No structure visible. Beaver Ponds on both sides of the road. Diameter estimated. Large mature beaverdam located approximately 10 m downstream of road. 10:56    </t>
  </si>
  <si>
    <t xml:space="preserve">Tributary to Kispiox River </t>
  </si>
  <si>
    <t>Helen FSR</t>
  </si>
  <si>
    <t>Bedrock</t>
  </si>
  <si>
    <t xml:space="preserve">Natural bed rock cascade of greater than 20% immediately downstream of culvert outlet for a distance of approximately 20 m.  11:35  </t>
  </si>
  <si>
    <t xml:space="preserve">Tributary to McCully Creek </t>
  </si>
  <si>
    <t>Helen Lake Road</t>
  </si>
  <si>
    <t xml:space="preserve">Dry draw with all organic substrate and moss throughout channel. Culvert outlet is severely rusted with the bottom completely corroded for the last approximately 1 m. Unlikely a fish bearing stream. 13:39             </t>
  </si>
  <si>
    <t>Poplar Park Rd</t>
  </si>
  <si>
    <t>MoTi</t>
  </si>
  <si>
    <t>Pence Lake is located approximately 50 m upstream. Inlet of culvert is significantly damaged with metal that in words. Culvert is separating approximately halfway through the pipe â€“ see photo. Pipe is quite corroded. Pence Lake rec site is located approximately 2 to 300 m up the road. 15:30</t>
  </si>
  <si>
    <t>Tributary to Sweetin River</t>
  </si>
  <si>
    <t xml:space="preserve">Mossy draw. Channel is very small and poorly defined. Very unlikely that this is fish habitat.  Inlet covered with significant amounts of debris. 14:54     </t>
  </si>
  <si>
    <t xml:space="preserve">Kispiox Valley Road </t>
  </si>
  <si>
    <t xml:space="preserve"> Dry at time of survey. Significant moss on rocks throughout channel indicates his drive for a good portion of the year. Culvert is perched 3 m from stream channel with outlet emptying onto riprap. Culvert is bent severely in middle. 16:03     </t>
  </si>
  <si>
    <t>Mitten FSR</t>
  </si>
  <si>
    <t xml:space="preserve">Stream dry at time of assessment. Significant accumulation of debris just upstream of the inlet. 17:30        </t>
  </si>
  <si>
    <t>Pipe Arch</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</si>
  <si>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</si>
  <si>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 xml:space="preserve">Trib to Cullon Creek </t>
  </si>
  <si>
    <t>Shallow Fill</t>
  </si>
  <si>
    <t>Baffles installed. 13:32</t>
  </si>
  <si>
    <t>AI, JO</t>
  </si>
  <si>
    <t xml:space="preserve"> This is a small NCD drainage. Culvert is completely plugged and Inlet could not be located. Outlet of culvert is severely corroded. Very unlikely that this is a fish bearing system.   Culvert slope, channel with, ingredient estimated. 14:39</t>
  </si>
  <si>
    <t>Kuldo Creek</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</si>
  <si>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</si>
  <si>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is 50% blocked outlet. 9:32</t>
  </si>
  <si>
    <t xml:space="preserve">Tributary to Skeena River </t>
  </si>
  <si>
    <t>Culvert appears very old and near end of life. Nice gravels upstream. Flow is moving between the two 1 m pipes. Trash rack on inlet would be barrier to coho moving up to spawn. 10:57</t>
  </si>
  <si>
    <t>Sik e Dakh water tower road</t>
  </si>
  <si>
    <t>Sik E Dakh</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</si>
  <si>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</si>
  <si>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Culvert has had recent roadwork with significant amounts of Phil added. Stream is running clear upstream of the culvert and is extremely turbod downstream due to erosion and runoff related to the construction to fix the road. Inlet of culvert is bent and damage with a lot of impediment at the top end of the pipe blocking significant portions of the flow. 16:33</t>
  </si>
  <si>
    <t>Seventeen Mile Road in</t>
  </si>
  <si>
    <t>MoTI</t>
  </si>
  <si>
    <t xml:space="preserve"> Wetland upstream. Debris cone on inlet has separated from the culvert. Large inlet drop due to the debris caught in the inlet. 17:14</t>
  </si>
  <si>
    <t>Historic backwatering with 6 downstream lock block weirs. SFC has assessed site in past. Very large system, pipe embedded until last 10m. Large outlet drop. Lots of algae. 10:46</t>
  </si>
  <si>
    <t>11A Ave</t>
  </si>
  <si>
    <t xml:space="preserve"> There are actually two pipes that are 0.65 cm. One pipe has a extension into the Beaverdam located immediately upstream of the inlet. This stream is not in the map location as it is located upstream via the Kitwanga River approximately 250 m. 12:14</t>
  </si>
  <si>
    <t>Waterfall Creek</t>
  </si>
  <si>
    <t>Highway 16</t>
  </si>
  <si>
    <t>Stream is not maps correctly in the freshwater atlas. This is waterfall creek. Great flow, patches of gravel suitable for cohost Bonnie. Right within the town of New Hazelton. Trap and trucks call Hall operation occurring with spawners transplanted downstream of the railway. 16:30</t>
  </si>
  <si>
    <t xml:space="preserve">Waterfall Creek </t>
  </si>
  <si>
    <t>9th Ave</t>
  </si>
  <si>
    <t xml:space="preserve">Hazelton </t>
  </si>
  <si>
    <t>Two 0.9 pipe added together for width. Left pipe has significant blockage 1/3 of the way through the pipe. Right Bank of the stream has an empty lot with only grass and invasive weed riparian. 10:51</t>
  </si>
  <si>
    <t>TP, VJ</t>
  </si>
  <si>
    <t>Hankin</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</si>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</sst>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0" fontId="0" fillId="0" borderId="0" xfId="0"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5"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D15" sqref="D1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C53" sqref="C5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44809</v>
      </c>
      <c r="C5" s="10">
        <v>8301039</v>
      </c>
      <c r="D5" s="10" t="s">
        <v>93</v>
      </c>
      <c r="E5" s="11">
        <v>9</v>
      </c>
      <c r="F5" s="39">
        <v>567730</v>
      </c>
      <c r="G5" s="39">
        <v>6152762</v>
      </c>
      <c r="I5" s="11" t="s">
        <v>94</v>
      </c>
      <c r="J5" s="33"/>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44809</v>
      </c>
      <c r="C7" s="10">
        <v>8302064</v>
      </c>
      <c r="D7" s="10" t="s">
        <v>93</v>
      </c>
      <c r="E7" s="11">
        <v>9</v>
      </c>
      <c r="F7" s="39">
        <v>567986</v>
      </c>
      <c r="G7" s="39">
        <v>6151778</v>
      </c>
      <c r="H7" s="10" t="s">
        <v>100</v>
      </c>
      <c r="I7" s="11" t="s">
        <v>103</v>
      </c>
      <c r="J7" s="33">
        <v>9.9</v>
      </c>
      <c r="K7" s="10"/>
      <c r="L7" s="10" t="s">
        <v>98</v>
      </c>
      <c r="M7" s="10" t="s">
        <v>104</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105</v>
      </c>
      <c r="AE7" s="10" t="s">
        <v>106</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O7" s="10"/>
      <c r="AP7" s="10" t="s">
        <v>108</v>
      </c>
    </row>
    <row r="8" spans="1:42" x14ac:dyDescent="0.25">
      <c r="A8" s="59">
        <v>44809</v>
      </c>
      <c r="B8" s="82"/>
      <c r="C8" s="10">
        <v>8302070</v>
      </c>
      <c r="D8" s="10" t="s">
        <v>93</v>
      </c>
      <c r="E8" s="11">
        <v>9</v>
      </c>
      <c r="F8" s="39">
        <v>570210.42079999996</v>
      </c>
      <c r="G8" s="39">
        <v>6150339.8130000001</v>
      </c>
      <c r="H8" s="10" t="s">
        <v>100</v>
      </c>
      <c r="I8" s="11" t="s">
        <v>103</v>
      </c>
      <c r="J8" s="79"/>
      <c r="K8" s="81"/>
      <c r="L8" s="10" t="s">
        <v>98</v>
      </c>
      <c r="M8" s="10" t="s">
        <v>104</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105</v>
      </c>
      <c r="AE8" s="10" t="s">
        <v>106</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O8" s="10"/>
      <c r="AP8" s="10" t="s">
        <v>110</v>
      </c>
    </row>
    <row r="9" spans="1:42" x14ac:dyDescent="0.25">
      <c r="A9" s="59">
        <v>44809</v>
      </c>
      <c r="C9" s="10">
        <v>8302074</v>
      </c>
      <c r="D9" s="10" t="s">
        <v>93</v>
      </c>
      <c r="E9" s="11">
        <v>9</v>
      </c>
      <c r="F9" s="39">
        <v>570565.80189999996</v>
      </c>
      <c r="G9" s="39">
        <v>6150060.023</v>
      </c>
      <c r="H9" s="10" t="s">
        <v>100</v>
      </c>
      <c r="I9" s="11" t="s">
        <v>103</v>
      </c>
      <c r="J9" s="33"/>
      <c r="K9" s="81"/>
      <c r="L9" s="10" t="s">
        <v>98</v>
      </c>
      <c r="M9" s="10" t="s">
        <v>104</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105</v>
      </c>
      <c r="AE9" s="10" t="s">
        <v>109</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O9" s="10"/>
      <c r="AP9" s="10" t="s">
        <v>111</v>
      </c>
    </row>
    <row r="10" spans="1:42" x14ac:dyDescent="0.25">
      <c r="A10" s="59">
        <v>44809</v>
      </c>
      <c r="C10" s="10">
        <v>8300115</v>
      </c>
      <c r="D10" s="10" t="s">
        <v>93</v>
      </c>
      <c r="E10" s="11">
        <v>9</v>
      </c>
      <c r="F10" s="39">
        <v>574866.26289999997</v>
      </c>
      <c r="G10" s="39">
        <v>6149021.1509999996</v>
      </c>
      <c r="H10" s="78" t="s">
        <v>112</v>
      </c>
      <c r="I10" s="11" t="s">
        <v>103</v>
      </c>
      <c r="J10" s="33"/>
      <c r="K10" s="10"/>
      <c r="L10" s="10" t="s">
        <v>98</v>
      </c>
      <c r="M10" s="10" t="s">
        <v>104</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105</v>
      </c>
      <c r="AE10" s="10" t="s">
        <v>109</v>
      </c>
      <c r="AF10" s="20">
        <f t="shared" si="0"/>
        <v>0</v>
      </c>
      <c r="AG10" s="13">
        <f t="shared" si="1"/>
        <v>0</v>
      </c>
      <c r="AH10" s="7">
        <f t="shared" si="2"/>
        <v>10</v>
      </c>
      <c r="AI10" s="7">
        <f t="shared" si="3"/>
        <v>0</v>
      </c>
      <c r="AJ10" s="7">
        <f t="shared" si="4"/>
        <v>5</v>
      </c>
      <c r="AK10" s="7">
        <f t="shared" si="5"/>
        <v>0</v>
      </c>
      <c r="AL10" s="12">
        <f t="shared" si="6"/>
        <v>15</v>
      </c>
      <c r="AM10" s="14" t="str">
        <f t="shared" si="7"/>
        <v>Potential</v>
      </c>
      <c r="AP10" s="10" t="s">
        <v>113</v>
      </c>
    </row>
    <row r="11" spans="1:42" ht="30" x14ac:dyDescent="0.25">
      <c r="A11" s="59">
        <v>44809</v>
      </c>
      <c r="C11" s="78">
        <v>8300162</v>
      </c>
      <c r="D11" s="10" t="s">
        <v>93</v>
      </c>
      <c r="E11" s="11">
        <v>9</v>
      </c>
      <c r="F11" s="80">
        <v>573033.22470000002</v>
      </c>
      <c r="G11" s="80">
        <v>6151996.9409999996</v>
      </c>
      <c r="H11" s="11" t="s">
        <v>100</v>
      </c>
      <c r="I11" s="11" t="s">
        <v>114</v>
      </c>
      <c r="J11" s="33"/>
      <c r="K11" s="10"/>
      <c r="L11" s="10" t="s">
        <v>98</v>
      </c>
      <c r="M11" s="10" t="s">
        <v>104</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105</v>
      </c>
      <c r="AE11" s="10" t="s">
        <v>109</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O11" s="10"/>
      <c r="AP11" s="10" t="s">
        <v>115</v>
      </c>
    </row>
    <row r="12" spans="1:42" ht="30" x14ac:dyDescent="0.25">
      <c r="A12" s="59">
        <v>44809</v>
      </c>
      <c r="C12" s="10">
        <v>2798180</v>
      </c>
      <c r="D12" s="10" t="s">
        <v>93</v>
      </c>
      <c r="E12" s="11">
        <v>9</v>
      </c>
      <c r="F12" s="39">
        <v>573036.04639999999</v>
      </c>
      <c r="G12" s="39">
        <v>6151831.1710000001</v>
      </c>
      <c r="H12" s="11" t="s">
        <v>100</v>
      </c>
      <c r="I12" s="11" t="s">
        <v>114</v>
      </c>
      <c r="J12" s="33"/>
      <c r="L12" s="10" t="s">
        <v>98</v>
      </c>
      <c r="M12" s="10" t="s">
        <v>104</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105</v>
      </c>
      <c r="AE12" s="10" t="s">
        <v>109</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P12" s="10" t="s">
        <v>116</v>
      </c>
    </row>
    <row r="13" spans="1:42" ht="30" x14ac:dyDescent="0.25">
      <c r="A13" s="59">
        <v>44809</v>
      </c>
      <c r="C13" s="10">
        <v>8300161</v>
      </c>
      <c r="D13" s="10" t="s">
        <v>93</v>
      </c>
      <c r="E13" s="11">
        <v>9</v>
      </c>
      <c r="F13" s="39">
        <v>575069.51780000003</v>
      </c>
      <c r="G13" s="39">
        <v>6150345.2690000003</v>
      </c>
      <c r="H13" s="11" t="s">
        <v>100</v>
      </c>
      <c r="I13" s="11" t="s">
        <v>114</v>
      </c>
      <c r="L13" s="10" t="s">
        <v>98</v>
      </c>
      <c r="M13" s="10" t="s">
        <v>104</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105</v>
      </c>
      <c r="AE13" s="10" t="s">
        <v>109</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P13" s="10" t="s">
        <v>117</v>
      </c>
    </row>
    <row r="14" spans="1:42" ht="30" x14ac:dyDescent="0.25">
      <c r="A14" s="59">
        <v>44810</v>
      </c>
      <c r="C14" s="10">
        <v>8300124</v>
      </c>
      <c r="D14" s="10" t="s">
        <v>118</v>
      </c>
      <c r="E14" s="11">
        <v>9</v>
      </c>
      <c r="F14" s="39">
        <v>533805.93259999994</v>
      </c>
      <c r="G14" s="39">
        <v>6176387.0520000001</v>
      </c>
      <c r="H14" s="11" t="s">
        <v>119</v>
      </c>
      <c r="I14" s="11" t="s">
        <v>120</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121</v>
      </c>
    </row>
    <row r="15" spans="1:42" x14ac:dyDescent="0.25">
      <c r="A15" s="59">
        <v>44810</v>
      </c>
      <c r="C15" s="10">
        <v>8302683</v>
      </c>
      <c r="D15" s="10" t="s">
        <v>93</v>
      </c>
      <c r="E15" s="11">
        <v>9</v>
      </c>
      <c r="F15" s="39">
        <v>541972.93279999995</v>
      </c>
      <c r="G15" s="39">
        <v>6174712.2010000004</v>
      </c>
      <c r="H15" s="11" t="s">
        <v>122</v>
      </c>
      <c r="I15" s="11" t="s">
        <v>123</v>
      </c>
      <c r="L15" s="10" t="s">
        <v>98</v>
      </c>
      <c r="M15" s="10" t="s">
        <v>104</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105</v>
      </c>
      <c r="AE15" s="10" t="s">
        <v>109</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P15" s="10" t="s">
        <v>124</v>
      </c>
    </row>
    <row r="16" spans="1:42" ht="30" x14ac:dyDescent="0.25">
      <c r="A16" s="59">
        <v>44810</v>
      </c>
      <c r="C16" s="10">
        <v>8302061</v>
      </c>
      <c r="D16" s="10" t="s">
        <v>93</v>
      </c>
      <c r="E16" s="11">
        <v>9</v>
      </c>
      <c r="F16" s="39">
        <v>554147.7879</v>
      </c>
      <c r="G16" s="39">
        <v>6166257.2560000001</v>
      </c>
      <c r="H16" s="11" t="s">
        <v>100</v>
      </c>
      <c r="I16" s="11" t="s">
        <v>125</v>
      </c>
      <c r="L16" s="10" t="s">
        <v>98</v>
      </c>
      <c r="M16" s="10" t="s">
        <v>104</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105</v>
      </c>
      <c r="AE16" s="10" t="s">
        <v>106</v>
      </c>
      <c r="AF16" s="20">
        <f t="shared" si="8"/>
        <v>3</v>
      </c>
      <c r="AG16" s="13">
        <f t="shared" si="1"/>
        <v>0</v>
      </c>
      <c r="AH16" s="7">
        <f t="shared" si="2"/>
        <v>10</v>
      </c>
      <c r="AI16" s="7">
        <f t="shared" si="3"/>
        <v>5</v>
      </c>
      <c r="AJ16" s="7">
        <f t="shared" si="4"/>
        <v>10</v>
      </c>
      <c r="AK16" s="7">
        <f t="shared" si="5"/>
        <v>6</v>
      </c>
      <c r="AL16" s="12">
        <f t="shared" si="9"/>
        <v>31</v>
      </c>
      <c r="AM16" s="14" t="str">
        <f t="shared" si="7"/>
        <v>Barrier</v>
      </c>
      <c r="AP16" s="10" t="s">
        <v>126</v>
      </c>
    </row>
    <row r="17" spans="1:42" ht="30" x14ac:dyDescent="0.25">
      <c r="A17" s="59">
        <v>44810</v>
      </c>
      <c r="C17" s="10">
        <v>8302062</v>
      </c>
      <c r="D17" s="10" t="s">
        <v>93</v>
      </c>
      <c r="E17" s="11">
        <v>9</v>
      </c>
      <c r="F17" s="39">
        <v>554493.42290000001</v>
      </c>
      <c r="G17" s="39">
        <v>6166450.3210000005</v>
      </c>
      <c r="H17" s="11" t="s">
        <v>100</v>
      </c>
      <c r="I17" s="11" t="s">
        <v>125</v>
      </c>
      <c r="L17" s="10" t="s">
        <v>98</v>
      </c>
      <c r="M17" s="10" t="s">
        <v>104</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105</v>
      </c>
      <c r="AE17" s="10" t="s">
        <v>109</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P17" s="10" t="s">
        <v>127</v>
      </c>
    </row>
    <row r="18" spans="1:42" ht="30" x14ac:dyDescent="0.25">
      <c r="A18" s="59">
        <v>44811</v>
      </c>
      <c r="C18" s="10">
        <v>8301747</v>
      </c>
      <c r="D18" s="10" t="s">
        <v>93</v>
      </c>
      <c r="E18" s="11">
        <v>9</v>
      </c>
      <c r="F18" s="39">
        <v>563272.94649999996</v>
      </c>
      <c r="G18" s="39">
        <v>6170770.1799999997</v>
      </c>
      <c r="H18" s="11" t="s">
        <v>129</v>
      </c>
      <c r="I18" s="11" t="s">
        <v>128</v>
      </c>
      <c r="L18" s="10" t="s">
        <v>98</v>
      </c>
      <c r="M18" s="10" t="s">
        <v>104</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105</v>
      </c>
      <c r="AE18" s="10" t="s">
        <v>109</v>
      </c>
      <c r="AF18" s="20">
        <f t="shared" si="8"/>
        <v>1.5</v>
      </c>
      <c r="AG18" s="13">
        <f t="shared" si="1"/>
        <v>0</v>
      </c>
      <c r="AH18" s="7">
        <f t="shared" si="2"/>
        <v>10</v>
      </c>
      <c r="AI18" s="7">
        <f t="shared" si="3"/>
        <v>10</v>
      </c>
      <c r="AJ18" s="7">
        <f t="shared" si="4"/>
        <v>10</v>
      </c>
      <c r="AK18" s="7">
        <f t="shared" si="5"/>
        <v>6</v>
      </c>
      <c r="AL18" s="12">
        <f t="shared" si="9"/>
        <v>36</v>
      </c>
      <c r="AM18" s="14" t="str">
        <f t="shared" si="7"/>
        <v>Barrier</v>
      </c>
      <c r="AP18" s="10" t="s">
        <v>130</v>
      </c>
    </row>
    <row r="19" spans="1:42" ht="30" x14ac:dyDescent="0.25">
      <c r="A19" s="59">
        <v>44811</v>
      </c>
      <c r="C19" s="10">
        <v>8301750</v>
      </c>
      <c r="D19" s="10" t="s">
        <v>93</v>
      </c>
      <c r="E19" s="11">
        <v>9</v>
      </c>
      <c r="F19" s="39">
        <v>563429.41749999998</v>
      </c>
      <c r="G19" s="39">
        <v>6170437.2060000002</v>
      </c>
      <c r="H19" s="11" t="s">
        <v>129</v>
      </c>
      <c r="I19" s="11" t="s">
        <v>128</v>
      </c>
      <c r="J19" s="33">
        <v>15.1</v>
      </c>
      <c r="L19" s="10" t="s">
        <v>98</v>
      </c>
      <c r="M19" s="10" t="s">
        <v>104</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105</v>
      </c>
      <c r="AE19" s="10" t="s">
        <v>106</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P19" s="10" t="s">
        <v>131</v>
      </c>
    </row>
    <row r="20" spans="1:42" ht="30" x14ac:dyDescent="0.25">
      <c r="A20" s="59">
        <v>44811</v>
      </c>
      <c r="C20" s="10">
        <v>8301761</v>
      </c>
      <c r="D20" s="10" t="s">
        <v>93</v>
      </c>
      <c r="E20" s="11">
        <v>9</v>
      </c>
      <c r="F20" s="39">
        <v>563960.53220000002</v>
      </c>
      <c r="G20" s="39">
        <v>6165290.9079999998</v>
      </c>
      <c r="H20" s="11" t="s">
        <v>129</v>
      </c>
      <c r="I20" s="11" t="s">
        <v>128</v>
      </c>
      <c r="J20" s="33"/>
      <c r="L20" s="10" t="s">
        <v>98</v>
      </c>
      <c r="M20" s="10" t="s">
        <v>104</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105</v>
      </c>
      <c r="AE20" s="10" t="s">
        <v>109</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O20" s="10"/>
      <c r="AP20" s="10" t="s">
        <v>132</v>
      </c>
    </row>
    <row r="21" spans="1:42" x14ac:dyDescent="0.25">
      <c r="A21" s="59">
        <v>44812</v>
      </c>
      <c r="C21" s="10">
        <v>8300186</v>
      </c>
      <c r="D21" s="10" t="s">
        <v>93</v>
      </c>
      <c r="E21" s="10">
        <v>9</v>
      </c>
      <c r="F21" s="21">
        <v>581810.45550000004</v>
      </c>
      <c r="G21" s="21">
        <v>6137777.7019999996</v>
      </c>
      <c r="H21" s="10" t="s">
        <v>100</v>
      </c>
      <c r="I21" s="10" t="s">
        <v>133</v>
      </c>
      <c r="J21" s="33">
        <v>3.9</v>
      </c>
      <c r="K21" s="10"/>
      <c r="L21" s="10" t="s">
        <v>98</v>
      </c>
      <c r="M21" s="10" t="s">
        <v>104</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105</v>
      </c>
      <c r="AE21" s="10" t="s">
        <v>109</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P21" s="10" t="s">
        <v>134</v>
      </c>
    </row>
    <row r="22" spans="1:42" x14ac:dyDescent="0.25">
      <c r="A22" s="59">
        <v>44812</v>
      </c>
      <c r="C22" s="10">
        <v>8300105</v>
      </c>
      <c r="D22" s="10" t="s">
        <v>93</v>
      </c>
      <c r="E22" s="11">
        <v>9</v>
      </c>
      <c r="F22" s="39">
        <v>578249.7291</v>
      </c>
      <c r="G22" s="39">
        <v>6150754.466</v>
      </c>
      <c r="H22" s="10" t="s">
        <v>100</v>
      </c>
      <c r="I22" s="11" t="s">
        <v>120</v>
      </c>
      <c r="L22" s="10" t="s">
        <v>98</v>
      </c>
      <c r="M22" s="10" t="s">
        <v>104</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105</v>
      </c>
      <c r="AE22" s="10" t="s">
        <v>109</v>
      </c>
      <c r="AF22" s="20">
        <f t="shared" si="8"/>
        <v>2</v>
      </c>
      <c r="AG22" s="13">
        <f t="shared" si="1"/>
        <v>0</v>
      </c>
      <c r="AH22" s="7">
        <f t="shared" si="2"/>
        <v>10</v>
      </c>
      <c r="AI22" s="7">
        <f t="shared" si="3"/>
        <v>10</v>
      </c>
      <c r="AJ22" s="7">
        <f t="shared" si="4"/>
        <v>5</v>
      </c>
      <c r="AK22" s="7">
        <f t="shared" si="5"/>
        <v>6</v>
      </c>
      <c r="AL22" s="12">
        <f t="shared" si="9"/>
        <v>31</v>
      </c>
      <c r="AM22" s="14" t="str">
        <f t="shared" si="7"/>
        <v>Barrier</v>
      </c>
      <c r="AP22" s="10" t="s">
        <v>135</v>
      </c>
    </row>
    <row r="23" spans="1:42" x14ac:dyDescent="0.25">
      <c r="A23" s="59">
        <v>44812</v>
      </c>
      <c r="C23" s="10">
        <v>8300104</v>
      </c>
      <c r="D23" s="10" t="s">
        <v>93</v>
      </c>
      <c r="E23" s="11">
        <v>9</v>
      </c>
      <c r="F23" s="39">
        <v>579148.46010000003</v>
      </c>
      <c r="G23" s="39">
        <v>6149784.1529999999</v>
      </c>
      <c r="H23" s="10" t="s">
        <v>100</v>
      </c>
      <c r="I23" s="11" t="s">
        <v>120</v>
      </c>
      <c r="L23" s="10" t="s">
        <v>98</v>
      </c>
      <c r="M23" s="10" t="s">
        <v>104</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105</v>
      </c>
      <c r="AE23" s="10" t="s">
        <v>109</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P23" s="10" t="s">
        <v>136</v>
      </c>
    </row>
    <row r="24" spans="1:42" x14ac:dyDescent="0.25">
      <c r="A24" s="59">
        <v>44812</v>
      </c>
      <c r="C24" s="10">
        <v>8300103</v>
      </c>
      <c r="D24" s="10" t="s">
        <v>93</v>
      </c>
      <c r="E24" s="11">
        <v>9</v>
      </c>
      <c r="F24" s="39">
        <v>580494.92260000005</v>
      </c>
      <c r="G24" s="39">
        <v>6146060.8380000005</v>
      </c>
      <c r="H24" s="10" t="s">
        <v>100</v>
      </c>
      <c r="I24" s="11" t="s">
        <v>120</v>
      </c>
      <c r="L24" s="10" t="s">
        <v>98</v>
      </c>
      <c r="M24" s="10" t="s">
        <v>104</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105</v>
      </c>
      <c r="AE24" s="10" t="s">
        <v>109</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P24" s="10" t="s">
        <v>137</v>
      </c>
    </row>
    <row r="25" spans="1:42" ht="30" x14ac:dyDescent="0.25">
      <c r="A25" s="59">
        <v>44813</v>
      </c>
      <c r="C25" s="10">
        <v>8300012</v>
      </c>
      <c r="D25" s="10" t="s">
        <v>93</v>
      </c>
      <c r="E25" s="11">
        <v>9</v>
      </c>
      <c r="F25" s="39">
        <v>563541.58660000004</v>
      </c>
      <c r="G25" s="39">
        <v>6109764.7000000002</v>
      </c>
      <c r="H25" s="11" t="s">
        <v>139</v>
      </c>
      <c r="I25" s="11" t="s">
        <v>138</v>
      </c>
      <c r="L25" s="10" t="s">
        <v>98</v>
      </c>
      <c r="M25" s="10" t="s">
        <v>104</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105</v>
      </c>
      <c r="AE25" s="10" t="s">
        <v>140</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141</v>
      </c>
    </row>
    <row r="26" spans="1:42" ht="30" x14ac:dyDescent="0.25">
      <c r="A26" s="59">
        <v>44813</v>
      </c>
      <c r="C26" s="10">
        <v>8300917</v>
      </c>
      <c r="D26" s="10" t="s">
        <v>93</v>
      </c>
      <c r="E26" s="11">
        <v>9</v>
      </c>
      <c r="F26" s="39">
        <v>563869.17090000003</v>
      </c>
      <c r="G26" s="39">
        <v>6109781.034</v>
      </c>
      <c r="H26" s="11" t="s">
        <v>139</v>
      </c>
      <c r="I26" s="11" t="s">
        <v>138</v>
      </c>
      <c r="L26" s="10" t="s">
        <v>98</v>
      </c>
      <c r="M26" s="10" t="s">
        <v>104</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105</v>
      </c>
      <c r="AE26" s="10" t="s">
        <v>140</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142</v>
      </c>
    </row>
    <row r="27" spans="1:42" ht="30" x14ac:dyDescent="0.25">
      <c r="A27" s="59">
        <v>44813</v>
      </c>
      <c r="C27" s="10">
        <v>8300188</v>
      </c>
      <c r="D27" s="10" t="s">
        <v>93</v>
      </c>
      <c r="E27" s="11">
        <v>9</v>
      </c>
      <c r="F27" s="39">
        <v>558317.00749999995</v>
      </c>
      <c r="G27" s="39">
        <v>6127315.8250000002</v>
      </c>
      <c r="H27" s="11" t="s">
        <v>139</v>
      </c>
      <c r="I27" s="11" t="s">
        <v>143</v>
      </c>
      <c r="L27" s="10" t="s">
        <v>98</v>
      </c>
      <c r="M27" s="10" t="s">
        <v>104</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105</v>
      </c>
      <c r="AE27" s="10" t="s">
        <v>109</v>
      </c>
      <c r="AF27" s="20">
        <f t="shared" si="8"/>
        <v>1.5</v>
      </c>
      <c r="AG27" s="13">
        <f t="shared" si="1"/>
        <v>0</v>
      </c>
      <c r="AH27" s="7">
        <f t="shared" si="2"/>
        <v>5</v>
      </c>
      <c r="AI27" s="7">
        <f t="shared" si="3"/>
        <v>0</v>
      </c>
      <c r="AJ27" s="7">
        <f t="shared" si="4"/>
        <v>5</v>
      </c>
      <c r="AK27" s="7">
        <f t="shared" si="5"/>
        <v>6</v>
      </c>
      <c r="AL27" s="12">
        <f t="shared" si="9"/>
        <v>16</v>
      </c>
      <c r="AM27" s="14" t="str">
        <f t="shared" si="7"/>
        <v>Potential</v>
      </c>
      <c r="AP27" s="10" t="s">
        <v>144</v>
      </c>
    </row>
    <row r="28" spans="1:42" ht="30" x14ac:dyDescent="0.25">
      <c r="A28" s="59">
        <v>44813</v>
      </c>
      <c r="C28" s="10">
        <v>8300465</v>
      </c>
      <c r="D28" s="10" t="s">
        <v>93</v>
      </c>
      <c r="E28" s="11">
        <v>9</v>
      </c>
      <c r="F28" s="39">
        <v>549761.10600000003</v>
      </c>
      <c r="G28" s="39">
        <v>6140313.0930000003</v>
      </c>
      <c r="H28" s="11" t="s">
        <v>139</v>
      </c>
      <c r="I28" s="11" t="s">
        <v>145</v>
      </c>
      <c r="L28" s="10" t="s">
        <v>98</v>
      </c>
      <c r="M28" s="10" t="s">
        <v>104</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105</v>
      </c>
      <c r="AE28" s="10" t="s">
        <v>106</v>
      </c>
      <c r="AF28" s="20">
        <f t="shared" si="8"/>
        <v>2.125</v>
      </c>
      <c r="AG28" s="13">
        <f t="shared" si="1"/>
        <v>0</v>
      </c>
      <c r="AH28" s="7">
        <f t="shared" si="2"/>
        <v>10</v>
      </c>
      <c r="AI28" s="7">
        <f t="shared" si="3"/>
        <v>0</v>
      </c>
      <c r="AJ28" s="7">
        <f t="shared" si="4"/>
        <v>0</v>
      </c>
      <c r="AK28" s="7">
        <f t="shared" si="5"/>
        <v>6</v>
      </c>
      <c r="AL28" s="12">
        <f t="shared" si="9"/>
        <v>16</v>
      </c>
      <c r="AM28" s="14" t="str">
        <f t="shared" si="7"/>
        <v>Potential</v>
      </c>
      <c r="AP28" s="10" t="s">
        <v>146</v>
      </c>
    </row>
    <row r="29" spans="1:42" ht="30" x14ac:dyDescent="0.25">
      <c r="A29" s="59">
        <v>44809</v>
      </c>
      <c r="C29" s="10">
        <v>8302421</v>
      </c>
      <c r="D29" s="10" t="s">
        <v>148</v>
      </c>
      <c r="E29" s="11">
        <v>9</v>
      </c>
      <c r="F29" s="39">
        <v>567222.22530000005</v>
      </c>
      <c r="G29" s="39">
        <v>6154119.9369999999</v>
      </c>
      <c r="H29" s="11" t="s">
        <v>100</v>
      </c>
      <c r="I29" s="11" t="s">
        <v>147</v>
      </c>
      <c r="L29" s="10" t="s">
        <v>98</v>
      </c>
      <c r="M29" s="10" t="s">
        <v>104</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105</v>
      </c>
      <c r="AE29" s="10" t="s">
        <v>109</v>
      </c>
      <c r="AF29" s="20">
        <f t="shared" si="8"/>
        <v>15</v>
      </c>
      <c r="AG29" s="13">
        <f t="shared" si="1"/>
        <v>0</v>
      </c>
      <c r="AH29" s="7">
        <f t="shared" si="2"/>
        <v>10</v>
      </c>
      <c r="AI29" s="7">
        <f t="shared" si="3"/>
        <v>0</v>
      </c>
      <c r="AJ29" s="7">
        <f t="shared" si="4"/>
        <v>0</v>
      </c>
      <c r="AK29" s="7">
        <f t="shared" si="5"/>
        <v>6</v>
      </c>
      <c r="AL29" s="12">
        <f t="shared" si="9"/>
        <v>16</v>
      </c>
      <c r="AM29" s="14" t="str">
        <f t="shared" si="7"/>
        <v>Potential</v>
      </c>
      <c r="AP29" s="10" t="s">
        <v>149</v>
      </c>
    </row>
    <row r="30" spans="1:42" ht="30" x14ac:dyDescent="0.25">
      <c r="A30" s="59">
        <v>44809</v>
      </c>
      <c r="C30" s="10">
        <v>8302065</v>
      </c>
      <c r="D30" s="10" t="s">
        <v>148</v>
      </c>
      <c r="E30" s="11">
        <v>9</v>
      </c>
      <c r="F30" s="39">
        <v>566030.28949999996</v>
      </c>
      <c r="G30" s="39">
        <v>6153076.9699999997</v>
      </c>
      <c r="H30" s="11" t="s">
        <v>150</v>
      </c>
      <c r="I30" s="11" t="s">
        <v>151</v>
      </c>
      <c r="L30" s="10" t="s">
        <v>98</v>
      </c>
      <c r="M30" s="10" t="s">
        <v>104</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152</v>
      </c>
      <c r="AE30" s="10" t="s">
        <v>109</v>
      </c>
      <c r="AF30" s="20">
        <f t="shared" si="8"/>
        <v>2.75</v>
      </c>
      <c r="AG30" s="13">
        <f t="shared" si="1"/>
        <v>0</v>
      </c>
      <c r="AH30" s="7">
        <f t="shared" si="2"/>
        <v>10</v>
      </c>
      <c r="AI30" s="7">
        <f t="shared" si="3"/>
        <v>0</v>
      </c>
      <c r="AJ30" s="7">
        <f t="shared" si="4"/>
        <v>10</v>
      </c>
      <c r="AK30" s="7">
        <f t="shared" si="5"/>
        <v>6</v>
      </c>
      <c r="AL30" s="12">
        <f t="shared" si="9"/>
        <v>26</v>
      </c>
      <c r="AM30" s="14" t="str">
        <f t="shared" si="7"/>
        <v>Barrier</v>
      </c>
      <c r="AP30" s="10" t="s">
        <v>153</v>
      </c>
    </row>
    <row r="31" spans="1:42" ht="30" x14ac:dyDescent="0.25">
      <c r="A31" s="59">
        <v>44809</v>
      </c>
      <c r="C31" s="10">
        <v>8300118</v>
      </c>
      <c r="D31" s="10" t="s">
        <v>148</v>
      </c>
      <c r="E31" s="11">
        <v>9</v>
      </c>
      <c r="F31" s="39">
        <v>572865.03040000005</v>
      </c>
      <c r="G31" s="39">
        <v>6149158.4119999995</v>
      </c>
      <c r="H31" s="11" t="s">
        <v>154</v>
      </c>
      <c r="I31" s="11" t="s">
        <v>155</v>
      </c>
      <c r="J31" s="22">
        <v>3.9</v>
      </c>
      <c r="L31" s="10" t="s">
        <v>98</v>
      </c>
      <c r="M31" s="10" t="s">
        <v>104</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105</v>
      </c>
      <c r="AE31" s="10" t="s">
        <v>109</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P31" s="10" t="s">
        <v>156</v>
      </c>
    </row>
    <row r="32" spans="1:42" ht="30" x14ac:dyDescent="0.25">
      <c r="A32" s="59">
        <v>44809</v>
      </c>
      <c r="C32" s="10">
        <v>2022090501</v>
      </c>
      <c r="D32" s="10" t="s">
        <v>148</v>
      </c>
      <c r="E32" s="11">
        <v>9</v>
      </c>
      <c r="F32" s="39">
        <v>573065.74219999998</v>
      </c>
      <c r="G32" s="39">
        <v>6152232.0839999998</v>
      </c>
      <c r="H32" s="11" t="s">
        <v>150</v>
      </c>
      <c r="I32" s="11" t="s">
        <v>157</v>
      </c>
      <c r="K32" s="11" t="s">
        <v>158</v>
      </c>
      <c r="L32" s="10" t="s">
        <v>98</v>
      </c>
      <c r="M32" s="10" t="s">
        <v>104</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105</v>
      </c>
      <c r="AE32" s="10" t="s">
        <v>140</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P32" s="10" t="s">
        <v>159</v>
      </c>
    </row>
    <row r="33" spans="1:42" ht="30" x14ac:dyDescent="0.25">
      <c r="A33" s="59">
        <v>44810</v>
      </c>
      <c r="C33" s="10">
        <v>8300030</v>
      </c>
      <c r="D33" s="10" t="s">
        <v>148</v>
      </c>
      <c r="E33" s="11">
        <v>9</v>
      </c>
      <c r="F33" s="39">
        <v>545529.3469</v>
      </c>
      <c r="G33" s="39">
        <v>6170758.7470000004</v>
      </c>
      <c r="H33" s="11" t="s">
        <v>160</v>
      </c>
      <c r="I33" s="11" t="s">
        <v>120</v>
      </c>
      <c r="L33" s="10" t="s">
        <v>98</v>
      </c>
      <c r="M33" s="10" t="s">
        <v>104</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105</v>
      </c>
      <c r="AE33" s="10" t="s">
        <v>109</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P33" s="10" t="s">
        <v>161</v>
      </c>
    </row>
    <row r="34" spans="1:42" ht="30" x14ac:dyDescent="0.25">
      <c r="A34" s="59">
        <v>44810</v>
      </c>
      <c r="C34" s="10">
        <v>8300111</v>
      </c>
      <c r="D34" s="10" t="s">
        <v>148</v>
      </c>
      <c r="E34" s="11">
        <v>9</v>
      </c>
      <c r="F34" s="39">
        <v>553817.49109999998</v>
      </c>
      <c r="G34" s="39">
        <v>6166233.2699999996</v>
      </c>
      <c r="H34" s="11" t="s">
        <v>150</v>
      </c>
      <c r="I34" s="11" t="s">
        <v>162</v>
      </c>
      <c r="L34" s="10" t="s">
        <v>98</v>
      </c>
      <c r="M34" s="10" t="s">
        <v>104</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105</v>
      </c>
      <c r="AE34" s="10" t="s">
        <v>109</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P34" s="10" t="s">
        <v>163</v>
      </c>
    </row>
    <row r="35" spans="1:42" ht="30" x14ac:dyDescent="0.25">
      <c r="A35" s="59">
        <v>44810</v>
      </c>
      <c r="C35" s="10">
        <v>8302403</v>
      </c>
      <c r="D35" s="10" t="s">
        <v>148</v>
      </c>
      <c r="E35" s="11">
        <v>9</v>
      </c>
      <c r="F35" s="39">
        <v>542451.61450000003</v>
      </c>
      <c r="G35" s="39">
        <v>6168061.9859999996</v>
      </c>
      <c r="H35" s="11" t="s">
        <v>150</v>
      </c>
      <c r="I35" s="11" t="s">
        <v>164</v>
      </c>
      <c r="J35" s="22">
        <v>21</v>
      </c>
      <c r="L35" s="10" t="s">
        <v>98</v>
      </c>
      <c r="M35" s="10" t="s">
        <v>104</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105</v>
      </c>
      <c r="AE35" s="10" t="s">
        <v>109</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P35" s="10" t="s">
        <v>165</v>
      </c>
    </row>
    <row r="36" spans="1:42" ht="30" x14ac:dyDescent="0.25">
      <c r="A36" s="59">
        <v>44810</v>
      </c>
      <c r="C36" s="10">
        <v>8302407</v>
      </c>
      <c r="D36" s="10" t="s">
        <v>148</v>
      </c>
      <c r="E36" s="11">
        <v>9</v>
      </c>
      <c r="F36" s="39">
        <v>548521.64040000003</v>
      </c>
      <c r="G36" s="39">
        <v>6165904.773</v>
      </c>
      <c r="H36" s="11" t="s">
        <v>150</v>
      </c>
      <c r="I36" s="11" t="s">
        <v>164</v>
      </c>
      <c r="J36" s="22">
        <v>14</v>
      </c>
      <c r="L36" s="10" t="s">
        <v>95</v>
      </c>
      <c r="M36" s="10" t="s">
        <v>166</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167</v>
      </c>
    </row>
    <row r="37" spans="1:42" x14ac:dyDescent="0.25">
      <c r="A37" s="59">
        <v>44811</v>
      </c>
      <c r="C37" s="10">
        <v>8301754</v>
      </c>
      <c r="D37" s="10" t="s">
        <v>148</v>
      </c>
      <c r="E37" s="11">
        <v>9</v>
      </c>
      <c r="F37" s="39">
        <v>564129.63919999998</v>
      </c>
      <c r="G37" s="39">
        <v>6166824.1220000004</v>
      </c>
      <c r="H37" s="11" t="s">
        <v>168</v>
      </c>
      <c r="I37" s="11" t="s">
        <v>128</v>
      </c>
      <c r="L37" s="10" t="s">
        <v>98</v>
      </c>
      <c r="M37" s="10" t="s">
        <v>104</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169</v>
      </c>
      <c r="AE37" s="10" t="s">
        <v>140</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170</v>
      </c>
    </row>
    <row r="38" spans="1:42" ht="30" x14ac:dyDescent="0.25">
      <c r="A38" s="59">
        <v>44811</v>
      </c>
      <c r="C38" s="10">
        <v>8301749</v>
      </c>
      <c r="D38" s="10" t="s">
        <v>171</v>
      </c>
      <c r="E38" s="11">
        <v>9</v>
      </c>
      <c r="F38" s="39">
        <v>564726.29700000002</v>
      </c>
      <c r="G38" s="39">
        <v>6164300.5060000001</v>
      </c>
      <c r="H38" s="11" t="s">
        <v>129</v>
      </c>
      <c r="I38" s="11" t="s">
        <v>128</v>
      </c>
      <c r="L38" s="10" t="s">
        <v>98</v>
      </c>
      <c r="M38" s="10" t="s">
        <v>104</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105</v>
      </c>
      <c r="AE38" s="10" t="s">
        <v>109</v>
      </c>
      <c r="AF38" s="20">
        <f t="shared" si="8"/>
        <v>2</v>
      </c>
      <c r="AG38" s="13">
        <f t="shared" si="1"/>
        <v>0</v>
      </c>
      <c r="AH38" s="7">
        <f t="shared" si="2"/>
        <v>10</v>
      </c>
      <c r="AI38" s="7">
        <f t="shared" si="3"/>
        <v>0</v>
      </c>
      <c r="AJ38" s="7">
        <f t="shared" si="4"/>
        <v>5</v>
      </c>
      <c r="AK38" s="7">
        <f t="shared" si="5"/>
        <v>6</v>
      </c>
      <c r="AL38" s="12">
        <f t="shared" si="9"/>
        <v>21</v>
      </c>
      <c r="AM38" s="14" t="str">
        <f t="shared" si="7"/>
        <v>Barrier</v>
      </c>
      <c r="AP38" s="10" t="s">
        <v>172</v>
      </c>
    </row>
    <row r="39" spans="1:42" ht="30" x14ac:dyDescent="0.25">
      <c r="A39" s="59">
        <v>44811</v>
      </c>
      <c r="C39" s="10">
        <v>8301748</v>
      </c>
      <c r="D39" s="10" t="s">
        <v>148</v>
      </c>
      <c r="E39" s="11">
        <v>9</v>
      </c>
      <c r="F39" s="39">
        <v>565280.84360000002</v>
      </c>
      <c r="G39" s="39">
        <v>6163975.7209999999</v>
      </c>
      <c r="H39" s="11" t="s">
        <v>129</v>
      </c>
      <c r="I39" s="11" t="s">
        <v>173</v>
      </c>
      <c r="L39" s="10" t="s">
        <v>98</v>
      </c>
      <c r="M39" s="10" t="s">
        <v>104</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105</v>
      </c>
      <c r="AE39" s="10" t="s">
        <v>109</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P39" s="10" t="s">
        <v>174</v>
      </c>
    </row>
    <row r="40" spans="1:42" ht="30" x14ac:dyDescent="0.25">
      <c r="A40" s="59">
        <v>44813</v>
      </c>
      <c r="C40" s="10">
        <v>8300042</v>
      </c>
      <c r="D40" s="10" t="s">
        <v>171</v>
      </c>
      <c r="E40" s="11">
        <v>9</v>
      </c>
      <c r="F40" s="39">
        <v>582153.73289999994</v>
      </c>
      <c r="G40" s="39">
        <v>6135026.2599999998</v>
      </c>
      <c r="H40" s="11" t="s">
        <v>150</v>
      </c>
      <c r="I40" s="11" t="s">
        <v>133</v>
      </c>
      <c r="L40" s="10" t="s">
        <v>98</v>
      </c>
      <c r="M40" s="10" t="s">
        <v>104</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105</v>
      </c>
      <c r="AE40" s="10" t="s">
        <v>140</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P40" s="10" t="s">
        <v>175</v>
      </c>
    </row>
    <row r="41" spans="1:42" ht="30" x14ac:dyDescent="0.25">
      <c r="A41" s="59">
        <v>44813</v>
      </c>
      <c r="C41" s="10">
        <v>8300054</v>
      </c>
      <c r="D41" s="10" t="s">
        <v>148</v>
      </c>
      <c r="E41" s="11">
        <v>9</v>
      </c>
      <c r="F41" s="39">
        <v>583025.51610000001</v>
      </c>
      <c r="G41" s="39">
        <v>6130401.8499999996</v>
      </c>
      <c r="H41" s="11" t="s">
        <v>176</v>
      </c>
      <c r="I41" s="11" t="s">
        <v>162</v>
      </c>
      <c r="K41" s="11" t="s">
        <v>158</v>
      </c>
      <c r="L41" s="10" t="s">
        <v>98</v>
      </c>
      <c r="M41" s="10" t="s">
        <v>104</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105</v>
      </c>
      <c r="AE41" s="10" t="s">
        <v>140</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177</v>
      </c>
    </row>
    <row r="42" spans="1:42" ht="30" x14ac:dyDescent="0.25">
      <c r="A42" s="59">
        <v>44813</v>
      </c>
      <c r="C42" s="10">
        <v>8301485</v>
      </c>
      <c r="D42" s="10" t="s">
        <v>148</v>
      </c>
      <c r="E42" s="11">
        <v>9</v>
      </c>
      <c r="F42" s="39">
        <v>582851.3419</v>
      </c>
      <c r="G42" s="39">
        <v>6130490.6440000003</v>
      </c>
      <c r="H42" s="11" t="s">
        <v>176</v>
      </c>
      <c r="I42" s="11" t="s">
        <v>178</v>
      </c>
      <c r="K42" s="11" t="s">
        <v>179</v>
      </c>
      <c r="L42" s="10" t="s">
        <v>98</v>
      </c>
      <c r="M42" s="10" t="s">
        <v>104</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105</v>
      </c>
      <c r="AE42" s="10" t="s">
        <v>140</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P42" s="10" t="s">
        <v>180</v>
      </c>
    </row>
    <row r="43" spans="1:42" ht="30" x14ac:dyDescent="0.25">
      <c r="A43" s="59">
        <v>44811</v>
      </c>
      <c r="C43" s="10">
        <v>62787053</v>
      </c>
      <c r="D43" s="10" t="s">
        <v>171</v>
      </c>
      <c r="E43" s="11">
        <v>9</v>
      </c>
      <c r="F43" s="39">
        <v>571274.1531</v>
      </c>
      <c r="G43" s="39">
        <v>6156519.1540000001</v>
      </c>
      <c r="H43" s="11" t="s">
        <v>100</v>
      </c>
      <c r="I43" s="11" t="s">
        <v>120</v>
      </c>
      <c r="K43" s="11" t="s">
        <v>158</v>
      </c>
      <c r="L43" s="10" t="s">
        <v>98</v>
      </c>
      <c r="M43" s="10" t="s">
        <v>104</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105</v>
      </c>
      <c r="AE43" s="10" t="s">
        <v>106</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P43" s="10" t="s">
        <v>181</v>
      </c>
    </row>
    <row r="44" spans="1:42" ht="30" x14ac:dyDescent="0.25">
      <c r="A44" s="59">
        <v>44813</v>
      </c>
      <c r="C44" s="10">
        <v>8300033</v>
      </c>
      <c r="D44" s="10" t="s">
        <v>148</v>
      </c>
      <c r="E44" s="11">
        <v>9</v>
      </c>
      <c r="F44" s="39">
        <v>579936.82109999994</v>
      </c>
      <c r="G44" s="39">
        <v>6144036.6239999998</v>
      </c>
      <c r="H44" s="11" t="s">
        <v>100</v>
      </c>
      <c r="I44" s="11" t="s">
        <v>182</v>
      </c>
      <c r="K44" s="11" t="s">
        <v>183</v>
      </c>
      <c r="L44" s="10" t="s">
        <v>98</v>
      </c>
      <c r="M44" s="10" t="s">
        <v>104</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105</v>
      </c>
      <c r="AE44" s="10" t="s">
        <v>106</v>
      </c>
      <c r="AF44" s="20">
        <f t="shared" si="8"/>
        <v>3.125</v>
      </c>
      <c r="AG44" s="13">
        <f t="shared" si="1"/>
        <v>0</v>
      </c>
      <c r="AH44" s="7">
        <f t="shared" si="2"/>
        <v>10</v>
      </c>
      <c r="AI44" s="7">
        <f t="shared" si="3"/>
        <v>0</v>
      </c>
      <c r="AJ44" s="7">
        <f t="shared" si="4"/>
        <v>0</v>
      </c>
      <c r="AK44" s="7">
        <f t="shared" si="5"/>
        <v>6</v>
      </c>
      <c r="AL44" s="12">
        <f t="shared" si="9"/>
        <v>16</v>
      </c>
      <c r="AM44" s="14" t="str">
        <f t="shared" si="7"/>
        <v>Potential</v>
      </c>
      <c r="AP44" s="10" t="s">
        <v>184</v>
      </c>
    </row>
    <row r="45" spans="1:42" ht="30" x14ac:dyDescent="0.25">
      <c r="A45" s="59">
        <v>44814</v>
      </c>
      <c r="C45" s="10">
        <v>8300095</v>
      </c>
      <c r="D45" s="10" t="s">
        <v>148</v>
      </c>
      <c r="E45" s="11">
        <v>9</v>
      </c>
      <c r="F45" s="39">
        <v>563431</v>
      </c>
      <c r="G45" s="39">
        <v>6109637</v>
      </c>
      <c r="H45" s="11" t="s">
        <v>139</v>
      </c>
      <c r="I45" s="11" t="s">
        <v>143</v>
      </c>
      <c r="K45" s="11" t="s">
        <v>158</v>
      </c>
      <c r="L45" s="10" t="s">
        <v>98</v>
      </c>
      <c r="M45" s="10" t="s">
        <v>104</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105</v>
      </c>
      <c r="AE45" s="10" t="s">
        <v>140</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P45" s="10" t="s">
        <v>185</v>
      </c>
    </row>
    <row r="46" spans="1:42" ht="30" x14ac:dyDescent="0.25">
      <c r="A46" s="59">
        <v>44814</v>
      </c>
      <c r="C46" s="10">
        <v>8300178</v>
      </c>
      <c r="D46" s="10" t="s">
        <v>148</v>
      </c>
      <c r="E46" s="11">
        <v>9</v>
      </c>
      <c r="F46" s="39">
        <v>558773.20570000005</v>
      </c>
      <c r="G46" s="39">
        <v>6126523.3099999996</v>
      </c>
      <c r="H46" s="11" t="s">
        <v>139</v>
      </c>
      <c r="I46" s="11" t="s">
        <v>186</v>
      </c>
      <c r="K46" s="11" t="s">
        <v>158</v>
      </c>
      <c r="L46" s="10" t="s">
        <v>98</v>
      </c>
      <c r="M46" s="10" t="s">
        <v>104</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105</v>
      </c>
      <c r="AE46" s="10" t="s">
        <v>106</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P46" s="10" t="s">
        <v>187</v>
      </c>
    </row>
    <row r="47" spans="1:42" x14ac:dyDescent="0.25">
      <c r="A47" s="59">
        <v>44814</v>
      </c>
      <c r="C47" s="10">
        <v>2022091002</v>
      </c>
      <c r="D47" s="10" t="s">
        <v>148</v>
      </c>
      <c r="E47" s="11">
        <v>9</v>
      </c>
      <c r="F47" s="39">
        <v>590233.22959999996</v>
      </c>
      <c r="G47" s="39">
        <v>6123183.2740000002</v>
      </c>
      <c r="H47" s="11" t="s">
        <v>188</v>
      </c>
      <c r="I47" s="11" t="s">
        <v>189</v>
      </c>
      <c r="K47" s="11" t="s">
        <v>158</v>
      </c>
      <c r="L47" s="10" t="s">
        <v>98</v>
      </c>
      <c r="M47" s="10" t="s">
        <v>104</v>
      </c>
      <c r="N47" s="21">
        <v>1.5</v>
      </c>
      <c r="O47" s="21">
        <v>27</v>
      </c>
      <c r="P47" s="10" t="s">
        <v>96</v>
      </c>
      <c r="Q47" s="88"/>
      <c r="R47" s="10" t="s">
        <v>96</v>
      </c>
      <c r="S47" s="10" t="s">
        <v>96</v>
      </c>
      <c r="T47" s="88"/>
      <c r="U47" s="21">
        <v>0.5</v>
      </c>
      <c r="V47" s="10">
        <v>0</v>
      </c>
      <c r="W47" s="21">
        <v>0.3</v>
      </c>
      <c r="X47" s="10" t="s">
        <v>102</v>
      </c>
      <c r="Y47" s="21">
        <v>2.5</v>
      </c>
      <c r="Z47" s="21">
        <v>3.9</v>
      </c>
      <c r="AA47" s="10">
        <v>2.5</v>
      </c>
      <c r="AB47" s="10" t="s">
        <v>96</v>
      </c>
      <c r="AC47" s="10" t="s">
        <v>102</v>
      </c>
      <c r="AD47" s="10" t="s">
        <v>105</v>
      </c>
      <c r="AE47" s="10" t="s">
        <v>140</v>
      </c>
      <c r="AF47" s="20">
        <f t="shared" si="8"/>
        <v>2.6</v>
      </c>
      <c r="AG47" s="13">
        <f t="shared" si="1"/>
        <v>3</v>
      </c>
      <c r="AH47" s="7">
        <f t="shared" si="2"/>
        <v>10</v>
      </c>
      <c r="AI47" s="7">
        <f t="shared" si="3"/>
        <v>0</v>
      </c>
      <c r="AJ47" s="7">
        <f t="shared" si="4"/>
        <v>5</v>
      </c>
      <c r="AK47" s="7">
        <f t="shared" si="5"/>
        <v>6</v>
      </c>
      <c r="AL47" s="12">
        <f t="shared" si="9"/>
        <v>24</v>
      </c>
      <c r="AM47" s="14" t="str">
        <f t="shared" si="7"/>
        <v>Barrier</v>
      </c>
      <c r="AP47" s="10" t="s">
        <v>190</v>
      </c>
    </row>
    <row r="48" spans="1:42" x14ac:dyDescent="0.25">
      <c r="A48" s="59">
        <v>44814</v>
      </c>
      <c r="C48" s="10">
        <v>2022091003</v>
      </c>
      <c r="D48" s="10" t="s">
        <v>148</v>
      </c>
      <c r="E48" s="11">
        <v>9</v>
      </c>
      <c r="F48" s="39">
        <v>590200.88210000005</v>
      </c>
      <c r="G48" s="39">
        <v>6123262.3940000003</v>
      </c>
      <c r="H48" s="11" t="s">
        <v>191</v>
      </c>
      <c r="I48" s="11" t="s">
        <v>192</v>
      </c>
      <c r="K48" s="11" t="s">
        <v>193</v>
      </c>
      <c r="L48" s="10" t="s">
        <v>98</v>
      </c>
      <c r="M48" s="10" t="s">
        <v>104</v>
      </c>
      <c r="N48" s="21">
        <v>1.8</v>
      </c>
      <c r="O48" s="21">
        <v>19</v>
      </c>
      <c r="P48" s="10" t="s">
        <v>96</v>
      </c>
      <c r="Q48" s="88"/>
      <c r="R48" s="10" t="s">
        <v>96</v>
      </c>
      <c r="S48" s="10" t="s">
        <v>96</v>
      </c>
      <c r="T48" s="88"/>
      <c r="U48" s="21">
        <v>1</v>
      </c>
      <c r="V48" s="10">
        <v>0.2</v>
      </c>
      <c r="W48" s="21">
        <v>0.1</v>
      </c>
      <c r="X48" s="10" t="s">
        <v>102</v>
      </c>
      <c r="Y48" s="21">
        <v>1</v>
      </c>
      <c r="Z48" s="21">
        <v>2.6</v>
      </c>
      <c r="AA48" s="10">
        <v>1.5</v>
      </c>
      <c r="AB48" s="10" t="s">
        <v>96</v>
      </c>
      <c r="AC48" s="10" t="s">
        <v>102</v>
      </c>
      <c r="AD48" s="10" t="s">
        <v>105</v>
      </c>
      <c r="AE48" s="10" t="s">
        <v>140</v>
      </c>
      <c r="AF48" s="20">
        <f t="shared" si="8"/>
        <v>1.4444444444444444</v>
      </c>
      <c r="AG48" s="13">
        <f t="shared" si="1"/>
        <v>3</v>
      </c>
      <c r="AH48" s="7">
        <f t="shared" si="2"/>
        <v>10</v>
      </c>
      <c r="AI48" s="7">
        <f t="shared" si="3"/>
        <v>5</v>
      </c>
      <c r="AJ48" s="7">
        <f t="shared" si="4"/>
        <v>5</v>
      </c>
      <c r="AK48" s="7">
        <f t="shared" si="5"/>
        <v>6</v>
      </c>
      <c r="AL48" s="12">
        <f t="shared" si="9"/>
        <v>29</v>
      </c>
      <c r="AM48" s="14" t="str">
        <f t="shared" si="7"/>
        <v>Barrier</v>
      </c>
      <c r="AP48" s="10" t="s">
        <v>194</v>
      </c>
    </row>
    <row r="49" spans="1:42" x14ac:dyDescent="0.25">
      <c r="A49" s="59">
        <v>44817</v>
      </c>
      <c r="C49" s="10">
        <v>24601067</v>
      </c>
      <c r="D49" s="10" t="s">
        <v>195</v>
      </c>
      <c r="E49" s="11">
        <v>9</v>
      </c>
      <c r="F49" s="39">
        <v>594902</v>
      </c>
      <c r="G49" s="39">
        <v>6075406</v>
      </c>
      <c r="I49" s="11" t="s">
        <v>196</v>
      </c>
      <c r="J49" s="22">
        <v>2.5</v>
      </c>
      <c r="L49" s="10" t="s">
        <v>98</v>
      </c>
      <c r="M49" s="10" t="s">
        <v>104</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169</v>
      </c>
      <c r="AE49" s="10" t="s">
        <v>106</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P49" s="89">
        <v>0.64097222222222217</v>
      </c>
    </row>
    <row r="50" spans="1:42" x14ac:dyDescent="0.25">
      <c r="A50" s="59">
        <v>44827</v>
      </c>
      <c r="C50" s="10">
        <v>8300128</v>
      </c>
      <c r="D50" s="10" t="s">
        <v>198</v>
      </c>
      <c r="E50" s="11">
        <v>9</v>
      </c>
      <c r="F50" s="39">
        <v>584898.73659999995</v>
      </c>
      <c r="G50" s="39">
        <v>6152502.318</v>
      </c>
      <c r="H50" s="11" t="s">
        <v>197</v>
      </c>
      <c r="I50" s="11" t="s">
        <v>199</v>
      </c>
      <c r="J50" s="22">
        <v>30</v>
      </c>
      <c r="L50" s="10" t="s">
        <v>98</v>
      </c>
      <c r="M50" s="10" t="s">
        <v>104</v>
      </c>
      <c r="N50" s="91">
        <v>2.4</v>
      </c>
      <c r="O50" s="91">
        <v>30</v>
      </c>
      <c r="P50" s="90" t="s">
        <v>96</v>
      </c>
      <c r="Q50" s="93"/>
      <c r="R50" s="90" t="s">
        <v>96</v>
      </c>
      <c r="S50" s="90" t="s">
        <v>96</v>
      </c>
      <c r="T50" s="93"/>
      <c r="U50" s="91">
        <v>4</v>
      </c>
      <c r="V50" s="90">
        <v>2</v>
      </c>
      <c r="W50" s="91">
        <v>2</v>
      </c>
      <c r="X50" s="90" t="s">
        <v>102</v>
      </c>
      <c r="Y50" s="91">
        <v>3.5</v>
      </c>
      <c r="Z50" s="91">
        <v>3.7</v>
      </c>
      <c r="AA50" s="90">
        <v>4.5</v>
      </c>
      <c r="AB50" s="10" t="s">
        <v>96</v>
      </c>
      <c r="AC50" s="10" t="s">
        <v>96</v>
      </c>
      <c r="AD50" s="90" t="s">
        <v>105</v>
      </c>
      <c r="AE50" s="90" t="s">
        <v>109</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N50" s="90"/>
      <c r="AO50" s="91"/>
      <c r="AP50" s="10" t="s">
        <v>200</v>
      </c>
    </row>
    <row r="51" spans="1:42" x14ac:dyDescent="0.25">
      <c r="A51" s="59">
        <v>44830</v>
      </c>
      <c r="C51" s="10">
        <v>4709789</v>
      </c>
      <c r="E51" s="11">
        <v>9</v>
      </c>
      <c r="F51" s="39">
        <v>581806.03940000001</v>
      </c>
      <c r="G51" s="39">
        <v>6156404.443</v>
      </c>
      <c r="H51" s="11" t="s">
        <v>201</v>
      </c>
      <c r="I51" s="11" t="s">
        <v>199</v>
      </c>
      <c r="J51" s="22">
        <v>36</v>
      </c>
      <c r="L51" s="10" t="s">
        <v>95</v>
      </c>
      <c r="M51" s="10" t="s">
        <v>101</v>
      </c>
      <c r="N51" s="91">
        <v>4.8</v>
      </c>
      <c r="O51" s="91">
        <v>10</v>
      </c>
      <c r="P51" s="92"/>
      <c r="Q51" s="93"/>
      <c r="R51" s="92"/>
      <c r="S51" s="92"/>
      <c r="T51" s="93"/>
      <c r="U51" s="93"/>
      <c r="V51" s="92"/>
      <c r="W51" s="93"/>
      <c r="X51" s="92"/>
      <c r="Y51" s="93"/>
      <c r="Z51" s="93"/>
      <c r="AA51" s="92"/>
      <c r="AB51" s="10" t="s">
        <v>96</v>
      </c>
      <c r="AC51" s="10" t="s">
        <v>96</v>
      </c>
      <c r="AD51" s="92"/>
      <c r="AE51" s="92"/>
      <c r="AF51" s="20">
        <f t="shared" si="8"/>
        <v>0</v>
      </c>
      <c r="AG51" s="13">
        <f t="shared" si="1"/>
        <v>0</v>
      </c>
      <c r="AH51" s="7">
        <f t="shared" si="2"/>
        <v>0</v>
      </c>
      <c r="AI51" s="7">
        <f t="shared" si="3"/>
        <v>0</v>
      </c>
      <c r="AJ51" s="7">
        <f t="shared" si="4"/>
        <v>0</v>
      </c>
      <c r="AK51" s="7">
        <f t="shared" si="5"/>
        <v>0</v>
      </c>
      <c r="AL51" s="12">
        <f t="shared" si="9"/>
        <v>0</v>
      </c>
      <c r="AM51" s="14" t="str">
        <f t="shared" si="7"/>
        <v>Passable</v>
      </c>
      <c r="AN51" s="92"/>
      <c r="AO51" s="93"/>
      <c r="AP51" s="10" t="s">
        <v>203</v>
      </c>
    </row>
    <row r="52" spans="1:42" ht="30" x14ac:dyDescent="0.25">
      <c r="A52" s="59">
        <v>44830</v>
      </c>
      <c r="C52" s="10">
        <v>4709790</v>
      </c>
      <c r="E52" s="11">
        <v>9</v>
      </c>
      <c r="F52" s="39">
        <v>583782.12860000005</v>
      </c>
      <c r="G52" s="39">
        <v>6153478.7290000003</v>
      </c>
      <c r="H52" s="11" t="s">
        <v>202</v>
      </c>
      <c r="I52" s="11" t="s">
        <v>199</v>
      </c>
      <c r="J52" s="22">
        <v>34</v>
      </c>
      <c r="L52" s="10" t="s">
        <v>95</v>
      </c>
      <c r="M52" s="10" t="s">
        <v>101</v>
      </c>
      <c r="N52" s="91">
        <v>4.8</v>
      </c>
      <c r="O52" s="91">
        <v>18</v>
      </c>
      <c r="P52" s="92"/>
      <c r="Q52" s="93"/>
      <c r="R52" s="92"/>
      <c r="S52" s="92"/>
      <c r="T52" s="93"/>
      <c r="U52" s="93"/>
      <c r="V52" s="92"/>
      <c r="W52" s="93"/>
      <c r="X52" s="92"/>
      <c r="Y52" s="93"/>
      <c r="Z52" s="93"/>
      <c r="AA52" s="92"/>
      <c r="AB52" s="10" t="s">
        <v>96</v>
      </c>
      <c r="AC52" s="10" t="s">
        <v>96</v>
      </c>
      <c r="AD52" s="92"/>
      <c r="AE52" s="92"/>
      <c r="AF52" s="20">
        <f t="shared" si="8"/>
        <v>0</v>
      </c>
      <c r="AG52" s="13">
        <f t="shared" si="1"/>
        <v>3</v>
      </c>
      <c r="AH52" s="7">
        <f t="shared" si="2"/>
        <v>0</v>
      </c>
      <c r="AI52" s="7">
        <f t="shared" si="3"/>
        <v>0</v>
      </c>
      <c r="AJ52" s="7">
        <f t="shared" si="4"/>
        <v>0</v>
      </c>
      <c r="AK52" s="7">
        <f t="shared" si="5"/>
        <v>0</v>
      </c>
      <c r="AL52" s="12">
        <f t="shared" si="9"/>
        <v>3</v>
      </c>
      <c r="AM52" s="14" t="str">
        <f t="shared" si="7"/>
        <v>Passable</v>
      </c>
      <c r="AN52" s="92"/>
      <c r="AO52" s="93"/>
      <c r="AP52" s="89">
        <v>0.4680555555555555</v>
      </c>
    </row>
    <row r="53" spans="1:42" ht="30" x14ac:dyDescent="0.25">
      <c r="A53" s="59">
        <v>44830</v>
      </c>
      <c r="C53" s="10">
        <v>8302244</v>
      </c>
      <c r="E53" s="11">
        <v>9</v>
      </c>
      <c r="F53" s="39">
        <v>583847.89619999996</v>
      </c>
      <c r="G53" s="39">
        <v>6153431.7350000003</v>
      </c>
      <c r="H53" s="11" t="s">
        <v>202</v>
      </c>
      <c r="I53" s="11" t="s">
        <v>199</v>
      </c>
      <c r="J53" s="22">
        <v>34</v>
      </c>
      <c r="L53" s="10" t="s">
        <v>95</v>
      </c>
      <c r="M53" s="10" t="s">
        <v>101</v>
      </c>
      <c r="N53" s="91">
        <v>4.8</v>
      </c>
      <c r="O53" s="91">
        <v>10.6</v>
      </c>
      <c r="P53" s="92"/>
      <c r="Q53" s="93"/>
      <c r="R53" s="92"/>
      <c r="S53" s="92"/>
      <c r="T53" s="93"/>
      <c r="U53" s="93"/>
      <c r="V53" s="92"/>
      <c r="W53" s="93"/>
      <c r="X53" s="92"/>
      <c r="Y53" s="93"/>
      <c r="Z53" s="93"/>
      <c r="AA53" s="92"/>
      <c r="AB53" s="10" t="s">
        <v>96</v>
      </c>
      <c r="AC53" s="10" t="s">
        <v>96</v>
      </c>
      <c r="AD53" s="92"/>
      <c r="AE53" s="92"/>
      <c r="AF53" s="20">
        <f t="shared" si="8"/>
        <v>0</v>
      </c>
      <c r="AG53" s="13">
        <f t="shared" si="1"/>
        <v>0</v>
      </c>
      <c r="AH53" s="7">
        <f t="shared" si="2"/>
        <v>0</v>
      </c>
      <c r="AI53" s="7">
        <f t="shared" si="3"/>
        <v>0</v>
      </c>
      <c r="AJ53" s="7">
        <f t="shared" si="4"/>
        <v>0</v>
      </c>
      <c r="AK53" s="7">
        <f t="shared" si="5"/>
        <v>0</v>
      </c>
      <c r="AL53" s="12">
        <f t="shared" si="9"/>
        <v>0</v>
      </c>
      <c r="AM53" s="14" t="str">
        <f t="shared" si="7"/>
        <v>Passable</v>
      </c>
      <c r="AN53" s="92"/>
      <c r="AO53" s="93"/>
      <c r="AP53" s="10" t="s">
        <v>204</v>
      </c>
    </row>
    <row r="54" spans="1:42"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42"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42"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42"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42"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42"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42"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42"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42"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42"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42"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YCvsj9QzcQp+VodN200pZaHbtsNdYLO38SNtL7rlZ0l7hWRla0q5B7kV59eb7pgjPfTcxwWAPj8r55Aq/sO/bw==" saltValue="x5e0SulLR64nHL6qlHJXU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9">
    <dataValidation type="list" allowBlank="1" showInputMessage="1" showErrorMessage="1" sqref="AM5284:AM65536" xr:uid="{00000000-0002-0000-0200-000000000000}">
      <formula1>"Passable, Potential, Barrier, Unkown"</formula1>
    </dataValidation>
    <dataValidation type="list" allowBlank="1" showInputMessage="1" showErrorMessage="1" sqref="M37 M5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7 Q54: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5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30 Q28 Q23 Q49 Q4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xr:uid="{1C3F55A0-5F3C-44F3-B697-980F8E6DC961}">
      <formula1>"Bridge, Pipe Arch, Wood Box Culvert"</formula1>
    </dataValidation>
    <dataValidation type="decimal" allowBlank="1" showInputMessage="1" showErrorMessage="1" errorTitle="Invalid value entered" error="The Average Depth Embededdment you entered is invalid. The Average Depth Embededdment must be &lt;= 3.99 and &gt;= 0.01" sqref="Q6" xr:uid="{6C805FB1-9C2B-4972-9EB7-4C671E6106B3}">
      <formula1>0.01</formula1>
      <formula2>3.99</formula2>
    </dataValidation>
    <dataValidation type="list" allowBlank="1" showInputMessage="1" showErrorMessage="1" errorTitle="Invalid value entered" error="The crossing subtype is not compatible with a crossing type of Closed Bottom Structure" sqref="M15:M35 M7:M13 M38:M49"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49"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7 Q32:Q34 Q21:Q22" xr:uid="{74A1C40B-712E-4594-BB9A-FBA1D71AE76D}">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24 Q17 Q15 Q8:Q9 Q43" xr:uid="{DEFAFB8A-FFB4-4486-A371-F7A811D3186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D51F68B0-EB3C-4E34-9049-56B7689090B3}">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7D95D4FB-D8C2-49B3-A79A-E40D7131E364}">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5B1B666A-D3F5-4FD1-86AA-8ED6FC6DC9A9}">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38" xr:uid="{2AD2804D-AA25-420B-8222-68297415F7A0}">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C30FA431-2BFF-483D-8D69-637892B62084}">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E349BBC5-95AD-4D4A-854E-983A18C45FF4}">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2825AB97-56BF-4572-B457-BB19B963FD99}">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8206A332-0B8B-4704-AE8D-34FADFDBE9AC}">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501F4D54-54F9-48D6-A138-88D3AD5EDD9B}">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xr:uid="{4FF1DDEB-061A-4EBF-8A8F-7AECD863D921}">
      <formula1>0.01</formula1>
      <formula2>5.99</formula2>
    </dataValidation>
    <dataValidation type="decimal" allowBlank="1" showInputMessage="1" showErrorMessage="1" errorTitle="Invalid value entered" error="The Average Depth Embededdment you entered is invalid. The Average Depth Embededdment must be &lt;= 0.94 and &gt;= 0.01" sqref="Q39" xr:uid="{10B01D56-5CCC-40A5-8780-37546E4954E3}">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5DC1FA4E-1627-4F32-A3D4-3467207C5A57}">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34DAA101-85DF-4AE3-A4BF-892CB4477B10}">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19EC9CE2-D77A-4EC8-8DA9-DFC898161B73}">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xr:uid="{1BD261CC-B07C-43AA-AC22-2E42D9F8EE1D}">
      <formula1>0.01</formula1>
      <formula2>4.79</formula2>
    </dataValidation>
    <dataValidation type="decimal" allowBlank="1" showInputMessage="1" showErrorMessage="1" errorTitle="Invalid value entered" error="The Average Depth Embededdment you entered is invalid. The Average Depth Embededdment must be &lt;= 1.49 and &gt;= 0.01" sqref="Q47" xr:uid="{1380008E-F67B-4CF5-817F-993127048A4A}">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list" allowBlank="1" showInputMessage="1" showErrorMessage="1" errorTitle="Invalid value entered" error="The crossing subtype is not compatible with a crossing type of Closed Bottom Structure" sqref="M50" xr:uid="{DF9B14FE-3A7D-4F12-B27A-C40E2601D899}">
      <formula1>"Round Culvert,Oval Culvert,Concrete Box"</formula1>
    </dataValidation>
    <dataValidation type="decimal" allowBlank="1" showInputMessage="1" showErrorMessage="1" errorTitle="Invalid Diamter or Span" error="The Diameter or Span entered is invalid. Diameter or Span must be &gt; 0 and &lt; 300" sqref="N50" xr:uid="{5D099C14-1EAC-484F-8FFF-3BE4D115E6D7}">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50" xr:uid="{713E7D44-90E2-441D-ADDB-32554E17C8D3}">
      <formula1>0.01</formula1>
      <formula2>2.39</formula2>
    </dataValidation>
    <dataValidation type="list" allowBlank="1" showInputMessage="1" showErrorMessage="1" errorTitle="Invalid value entered" error="The crossing subtype is not compatible with a crossing type of Open Bottom Structure" sqref="M51" xr:uid="{ECC2F016-D82F-472A-8E22-497E1AA5F351}">
      <formula1>"Bridge, Pipe Arch, Wood Box Culvert"</formula1>
    </dataValidation>
    <dataValidation type="decimal" allowBlank="1" showInputMessage="1" showErrorMessage="1" errorTitle="Invalid Diamter or Span" error="The Diameter or Span entered is invalid. Diameter or Span must be &gt; 0 and &lt; 100" sqref="N51" xr:uid="{3676C663-E80E-46D8-9866-F0E34FD70670}">
      <formula1>0.01</formula1>
      <formula2>100</formula2>
    </dataValidation>
    <dataValidation type="decimal" allowBlank="1" showInputMessage="1" showErrorMessage="1" errorTitle="Invalid value entered" error="The Average Depth Embededdment you entered is invalid. The Average Depth Embededdment must be &lt;= 4.79 and &gt;= 0.01" sqref="Q51" xr:uid="{3CEA485C-5428-4011-A186-8283B823362D}">
      <formula1>0.01</formula1>
      <formula2>4.79</formula2>
    </dataValidation>
    <dataValidation type="list" allowBlank="1" showInputMessage="1" showErrorMessage="1" errorTitle="Invalid value entered" error="The crossing subtype is not compatible with a crossing type of Open Bottom Structure" sqref="M52" xr:uid="{D05BFF03-FFC5-45F1-B517-8938DACE8D74}">
      <formula1>"Bridge, Pipe Arch, Wood Box Culvert"</formula1>
    </dataValidation>
    <dataValidation type="decimal" allowBlank="1" showInputMessage="1" showErrorMessage="1" errorTitle="Invalid Diamter or Span" error="The Diameter or Span entered is invalid. Diameter or Span must be &gt; 0 and &lt; 100" sqref="N52" xr:uid="{9751297B-75EA-4B4B-87E0-1A9513931570}">
      <formula1>0.01</formula1>
      <formula2>100</formula2>
    </dataValidation>
    <dataValidation type="list" allowBlank="1" showInputMessage="1" showErrorMessage="1" errorTitle="Invalid value entered" error="The crossing subtype is not compatible with a crossing type of Open Bottom Structure" sqref="M53" xr:uid="{654DA86D-472D-4820-BFFD-0D0F8FBF8231}">
      <formula1>"Bridge, Pipe Arch, Wood Box Culvert"</formula1>
    </dataValidation>
    <dataValidation type="decimal" allowBlank="1" showInputMessage="1" showErrorMessage="1" errorTitle="Invalid Diamter or Span" error="The Diameter or Span entered is invalid. Diameter or Span must be &gt; 0 and &lt; 100" sqref="N53" xr:uid="{D7142AE4-786A-4E6E-9D5B-296EECEF1C9C}">
      <formula1>0.01</formula1>
      <formula2>100</formula2>
    </dataValidation>
    <dataValidation type="decimal" allowBlank="1" showInputMessage="1" showErrorMessage="1" errorTitle="Invalid value entered" error="The Average Depth Embededdment you entered is invalid. The Average Depth Embededdment must be &lt;= 4.79 and &gt;= 0.01" sqref="Q52" xr:uid="{FF1C2FA2-0750-4755-930F-B3255EAFA3E5}">
      <formula1>0.01</formula1>
      <formula2>4.79</formula2>
    </dataValidation>
    <dataValidation type="decimal" allowBlank="1" showInputMessage="1" showErrorMessage="1" errorTitle="Invalid value entered" error="The Average Depth Embededdment you entered is invalid. The Average Depth Embededdment must be &lt;= 4.79 and &gt;= 0.01" sqref="Q53" xr:uid="{4B3F7967-3618-4A25-8415-D90DBDD0AB3B}">
      <formula1>0.01</formula1>
      <formula2>4.79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2022-10-26T17:04:08Z</dcterms:modified>
</cp:coreProperties>
</file>