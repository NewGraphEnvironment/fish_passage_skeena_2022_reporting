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5BE1A3FA-BBD1-4094-8860-644A32CF12A5}"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c r="AG12" i="2"/>
  <c r="AH12" i="2"/>
  <c r="AI12" i="2"/>
  <c r="AJ12" i="2"/>
  <c r="AF13" i="2"/>
  <c r="AK13" i="2"/>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<sst xmlns="http://schemas.openxmlformats.org/spreadsheetml/2006/main" count="195" uniqueCount="126">
  <si>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</si>
  <si>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</si>
  <si>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</si>
  <si>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</si>
  <si>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</si>
  <si>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</si>
  <si>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</si>
  <si>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</si>
  <si>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</si>
  <si>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</si>
  <si>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</si>
  <si>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</si>
  <si>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</si>
  <si>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</si>
  <si>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</si>
  <si>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</si>
  <si>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</si>
  <si>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</si>
  <si>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</si>
  <si>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</si>
  <si>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</si>
  <si>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</si>
  <si>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</si>
  <si>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</si>
  <si>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</si>
  <si>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</si>
  <si>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</si>
  <si>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</si>
  <si>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</si>
  <si>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</si>
  <si>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</si>
  <si>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</si>
  <si>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</si>
  <si>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</si>
  <si>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</si>
  <si>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</si>
  <si>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</si>
  <si>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</si>
  <si>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</si>
  <si>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</si>
  <si>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</si>
  <si>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</si>
  <si>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</si>
  <si>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</si>
  <si>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</si>
  <si>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</si>
  <si>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</si>
  <si>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</si>
  <si>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</si>
  <si>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</si>
  <si>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</si>
  <si>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</si>
  <si>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</si>
  <si>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</si>
  <si>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</si>
  <si>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</si>
  <si>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</si>
  <si>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</si>
  <si>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</si>
  <si>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</si>
  <si>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</si>
  <si>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</si>
  <si>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</si>
  <si>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</si>
  <si>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</si>
  <si>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</si>
  <si>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</si>
  <si>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</si>
  <si>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</si>
  <si>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</si>
  <si>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</si>
  <si>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</si>
  <si>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</si>
  <si>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</si>
  <si>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</si>
  <si>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</si>
  <si>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</si>
  <si>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</si>
  <si>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</si>
  <si>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</si>
  <si>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</si>
  <si>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</si>
  <si>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</si>
  <si>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</si>
  <si>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</si>
  <si>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</si>
  <si>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</si>
  <si>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</si>
  <si>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</si>
  <si>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</si>
  <si>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</si>
  <si>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</si>
  <si>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</si>
  <si>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</si>
  <si>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</si>
  <si>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</si>
  <si>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</si>
  <si>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</si>
  <si>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</si>
  <si>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</si>
  <si>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</si>
  <si>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AI, JO</t>
  </si>
  <si>
    <t xml:space="preserve">Tributary to Kispiox River </t>
  </si>
  <si>
    <t>Date Creek FSR</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</si>
  <si>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</si>
  <si>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</si>
  <si>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</si>
  <si>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</si>
  <si>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</si>
  <si>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 xml:space="preserve">Kispiox Valley Road </t>
  </si>
  <si>
    <t>MoTi</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</si>
  <si>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</si>
  <si>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</si>
  <si>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Sik e Dakh water tower road</t>
  </si>
  <si>
    <t>Sik E Dakh</t>
  </si>
  <si>
    <t>Tributary to Kitwanga River</t>
  </si>
  <si>
    <t>Kitwancool Br. 2</t>
  </si>
  <si>
    <t>2 culverts side by side. 14:23</t>
  </si>
  <si>
    <t>Waterfall Creek</t>
  </si>
  <si>
    <t>Highway 16</t>
  </si>
  <si>
    <t>Stream is not maps correctly in the freshwater atlas. This is waterfall creek. Great flow, patches of gravel suitable for cohost Bonnie. Right within the town of New Hazelton. Trap and trucks call Hall operation occurring with spawners transplanted downstream of the railway. 16:30</t>
  </si>
  <si>
    <t>JO</t>
  </si>
  <si>
    <t>Sterritt creek</t>
  </si>
  <si>
    <t>Babine Slide FSR</t>
  </si>
  <si>
    <t>Low</t>
  </si>
  <si>
    <t>Culvert is separating 10 meters in from upstream, top of culvert slumping in. 10:06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</si>
</sst>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0" fillId="10" borderId="0" xfId="0" applyNumberFormat="1" applyFill="1"/>
    <xf numFmtId="2" fontId="0" fillId="0" borderId="0" xfId="0" applyNumberFormat="1" applyFill="1" applyProtection="1">
      <protection locked="0"/>
    </xf>
    <xf numFmtId="0" fontId="0" fillId="0" borderId="0" xfId="0"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4"/>
    </row>
    <row r="8" spans="1:20" x14ac:dyDescent="0.25">
      <c r="A8" s="4" t="s">
        <v>73</v>
      </c>
    </row>
    <row r="9" spans="1:20" x14ac:dyDescent="0.25">
      <c r="A9" s="4" t="s">
        <v>74</v>
      </c>
    </row>
    <row r="10" spans="1:20" x14ac:dyDescent="0.25">
      <c r="A10" s="4" t="s">
        <v>75</v>
      </c>
      <c r="B10" s="85"/>
    </row>
    <row r="11" spans="1:20" x14ac:dyDescent="0.25">
      <c r="A11" s="4"/>
      <c r="B11" s="10"/>
    </row>
    <row r="12" spans="1:20" x14ac:dyDescent="0.25">
      <c r="A12" s="4" t="s">
        <v>36</v>
      </c>
      <c r="B12" s="84"/>
    </row>
    <row r="13" spans="1:20" x14ac:dyDescent="0.25">
      <c r="A13" s="4" t="s">
        <v>37</v>
      </c>
    </row>
    <row r="14" spans="1:20" x14ac:dyDescent="0.25">
      <c r="A14" s="4" t="s">
        <v>38</v>
      </c>
    </row>
    <row r="15" spans="1:20" x14ac:dyDescent="0.25">
      <c r="A15" s="4" t="s">
        <v>39</v>
      </c>
      <c r="B15" s="85"/>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O11" sqref="AO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L5" s="10" t="s">
        <v>95</v>
      </c>
      <c r="M5" s="10" t="s">
        <v>96</v>
      </c>
      <c r="N5" s="82">
        <v>2.4</v>
      </c>
      <c r="O5" s="82">
        <v>28</v>
      </c>
      <c r="P5" s="10" t="s">
        <v>97</v>
      </c>
      <c r="Q5" s="86"/>
      <c r="R5" s="10" t="s">
        <v>97</v>
      </c>
      <c r="S5" s="10" t="s">
        <v>97</v>
      </c>
      <c r="T5" s="86"/>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O5" s="10"/>
      <c r="AP5" s="78" t="s">
        <v>100</v>
      </c>
    </row>
    <row r="6" spans="1:42" x14ac:dyDescent="0.25">
      <c r="A6" s="59">
        <v>44813</v>
      </c>
      <c r="C6" s="10">
        <v>8300042</v>
      </c>
      <c r="D6" s="10" t="s">
        <v>101</v>
      </c>
      <c r="E6" s="11">
        <v>9</v>
      </c>
      <c r="F6" s="39">
        <v>582153.73289999994</v>
      </c>
      <c r="G6" s="39">
        <v>6135026.2599999998</v>
      </c>
      <c r="H6" s="10" t="s">
        <v>102</v>
      </c>
      <c r="I6" s="11" t="s">
        <v>103</v>
      </c>
      <c r="J6" s="33"/>
      <c r="K6" s="10"/>
      <c r="L6" s="10" t="s">
        <v>95</v>
      </c>
      <c r="M6" s="10" t="s">
        <v>96</v>
      </c>
      <c r="N6" s="82">
        <v>3.7</v>
      </c>
      <c r="O6" s="82">
        <v>32.5</v>
      </c>
      <c r="P6" s="10" t="s">
        <v>97</v>
      </c>
      <c r="Q6" s="86"/>
      <c r="R6" s="10" t="s">
        <v>97</v>
      </c>
      <c r="S6" s="10" t="s">
        <v>97</v>
      </c>
      <c r="T6" s="86"/>
      <c r="U6" s="10">
        <v>5.5</v>
      </c>
      <c r="V6" s="10">
        <v>1.1000000000000001</v>
      </c>
      <c r="W6" s="10">
        <v>0.85</v>
      </c>
      <c r="X6" s="10" t="s">
        <v>97</v>
      </c>
      <c r="Y6" s="10">
        <v>4</v>
      </c>
      <c r="Z6" s="10">
        <v>5.3</v>
      </c>
      <c r="AA6" s="10">
        <v>5.5</v>
      </c>
      <c r="AB6" s="10" t="s">
        <v>97</v>
      </c>
      <c r="AC6" s="10" t="s">
        <v>97</v>
      </c>
      <c r="AD6" s="10" t="s">
        <v>98</v>
      </c>
      <c r="AE6" s="10" t="s">
        <v>104</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44813</v>
      </c>
      <c r="C7" s="10">
        <v>8300054</v>
      </c>
      <c r="D7" s="10" t="s">
        <v>107</v>
      </c>
      <c r="E7" s="11">
        <v>9</v>
      </c>
      <c r="F7" s="39">
        <v>583025.51610000001</v>
      </c>
      <c r="G7" s="39">
        <v>6130401.8499999996</v>
      </c>
      <c r="H7" s="10" t="s">
        <v>108</v>
      </c>
      <c r="I7" s="11" t="s">
        <v>109</v>
      </c>
      <c r="J7" s="33"/>
      <c r="K7" s="10" t="s">
        <v>110</v>
      </c>
      <c r="L7" s="10" t="s">
        <v>95</v>
      </c>
      <c r="M7" s="10" t="s">
        <v>96</v>
      </c>
      <c r="N7" s="21">
        <v>2</v>
      </c>
      <c r="O7" s="21">
        <v>24</v>
      </c>
      <c r="P7" s="10" t="s">
        <v>111</v>
      </c>
      <c r="Q7" s="10">
        <v>0.2</v>
      </c>
      <c r="R7" s="10" t="s">
        <v>111</v>
      </c>
      <c r="S7" s="10" t="s">
        <v>111</v>
      </c>
      <c r="T7" s="10">
        <v>95</v>
      </c>
      <c r="U7" s="10">
        <v>3</v>
      </c>
      <c r="V7" s="10">
        <v>0</v>
      </c>
      <c r="W7" s="10">
        <v>0.8</v>
      </c>
      <c r="X7" s="10" t="s">
        <v>111</v>
      </c>
      <c r="Y7" s="10">
        <v>0.5</v>
      </c>
      <c r="Z7" s="10">
        <v>5.6</v>
      </c>
      <c r="AA7" s="10">
        <v>1.5</v>
      </c>
      <c r="AB7" s="10" t="s">
        <v>111</v>
      </c>
      <c r="AC7" s="10" t="s">
        <v>111</v>
      </c>
      <c r="AD7" s="10" t="s">
        <v>98</v>
      </c>
      <c r="AE7" s="10" t="s">
        <v>104</v>
      </c>
      <c r="AF7" s="20">
        <f t="shared" si="0"/>
        <v>2.8</v>
      </c>
      <c r="AG7" s="13">
        <f t="shared" si="1"/>
        <v>3</v>
      </c>
      <c r="AH7" s="7">
        <f t="shared" si="2"/>
        <v>5</v>
      </c>
      <c r="AI7" s="7">
        <f t="shared" si="3"/>
        <v>0</v>
      </c>
      <c r="AJ7" s="7">
        <f t="shared" si="4"/>
        <v>0</v>
      </c>
      <c r="AK7" s="7">
        <f t="shared" si="5"/>
        <v>6</v>
      </c>
      <c r="AL7" s="12">
        <f t="shared" si="6"/>
        <v>14</v>
      </c>
      <c r="AM7" s="14" t="str">
        <f t="shared" si="7"/>
        <v>Passable</v>
      </c>
      <c r="AN7" s="86"/>
      <c r="AO7" s="86"/>
      <c r="AP7" s="10" t="s">
        <v>106</v>
      </c>
    </row>
    <row r="8" spans="1:42" ht="30" x14ac:dyDescent="0.25">
      <c r="A8" s="59">
        <v>44813</v>
      </c>
      <c r="B8" s="83"/>
      <c r="C8" s="10">
        <v>8301485</v>
      </c>
      <c r="D8" s="10" t="s">
        <v>107</v>
      </c>
      <c r="E8" s="11">
        <v>9</v>
      </c>
      <c r="F8" s="39">
        <v>582851.3419</v>
      </c>
      <c r="G8" s="39">
        <v>6130490.6440000003</v>
      </c>
      <c r="H8" s="10" t="s">
        <v>108</v>
      </c>
      <c r="I8" s="11" t="s">
        <v>113</v>
      </c>
      <c r="J8" s="79"/>
      <c r="K8" s="81" t="s">
        <v>114</v>
      </c>
      <c r="L8" s="10" t="s">
        <v>95</v>
      </c>
      <c r="M8" s="10" t="s">
        <v>96</v>
      </c>
      <c r="N8" s="21">
        <v>2.5</v>
      </c>
      <c r="O8" s="21">
        <v>10</v>
      </c>
      <c r="P8" s="10" t="s">
        <v>97</v>
      </c>
      <c r="Q8" s="86"/>
      <c r="R8" s="10" t="s">
        <v>97</v>
      </c>
      <c r="S8" s="10" t="s">
        <v>97</v>
      </c>
      <c r="T8" s="86"/>
      <c r="U8" s="10">
        <v>1</v>
      </c>
      <c r="V8" s="10">
        <v>0.6</v>
      </c>
      <c r="W8" s="10">
        <v>0.7</v>
      </c>
      <c r="X8" s="10" t="s">
        <v>111</v>
      </c>
      <c r="Y8" s="10">
        <v>3.5</v>
      </c>
      <c r="Z8" s="10">
        <v>5.6</v>
      </c>
      <c r="AA8" s="10">
        <v>1.5</v>
      </c>
      <c r="AB8" s="10" t="s">
        <v>111</v>
      </c>
      <c r="AC8" s="10" t="s">
        <v>97</v>
      </c>
      <c r="AD8" s="10" t="s">
        <v>98</v>
      </c>
      <c r="AE8" s="10" t="s">
        <v>104</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O8" s="10"/>
      <c r="AP8" s="10" t="s">
        <v>112</v>
      </c>
    </row>
    <row r="9" spans="1:42" x14ac:dyDescent="0.25">
      <c r="A9" s="59">
        <v>44813</v>
      </c>
      <c r="B9" s="58">
        <v>8301994</v>
      </c>
      <c r="D9" s="10" t="s">
        <v>101</v>
      </c>
      <c r="E9" s="11">
        <v>9</v>
      </c>
      <c r="F9" s="39">
        <v>550299.97770000005</v>
      </c>
      <c r="G9" s="39">
        <v>6140708.1220000004</v>
      </c>
      <c r="H9" s="78" t="s">
        <v>115</v>
      </c>
      <c r="I9" s="11" t="s">
        <v>116</v>
      </c>
      <c r="J9" s="33"/>
      <c r="K9" s="81"/>
      <c r="L9" s="10" t="s">
        <v>95</v>
      </c>
      <c r="M9" s="10" t="s">
        <v>96</v>
      </c>
      <c r="N9" s="21">
        <v>0.85</v>
      </c>
      <c r="O9" s="21">
        <v>10</v>
      </c>
      <c r="P9" s="10" t="s">
        <v>97</v>
      </c>
      <c r="Q9" s="86"/>
      <c r="R9" s="10" t="s">
        <v>97</v>
      </c>
      <c r="S9" s="10" t="s">
        <v>97</v>
      </c>
      <c r="T9" s="86"/>
      <c r="U9" s="10">
        <v>0.45</v>
      </c>
      <c r="V9" s="10">
        <v>0.24</v>
      </c>
      <c r="W9" s="10">
        <v>0.22</v>
      </c>
      <c r="X9" s="10" t="s">
        <v>111</v>
      </c>
      <c r="Y9" s="10">
        <v>2</v>
      </c>
      <c r="Z9" s="10">
        <v>2.2999999999999998</v>
      </c>
      <c r="AA9" s="10">
        <v>1</v>
      </c>
      <c r="AB9" s="10" t="s">
        <v>111</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O9" s="10"/>
      <c r="AP9" s="10" t="s">
        <v>117</v>
      </c>
    </row>
    <row r="10" spans="1:42" x14ac:dyDescent="0.25">
      <c r="A10" s="59">
        <v>44814</v>
      </c>
      <c r="C10" s="10">
        <v>2022091002</v>
      </c>
      <c r="D10" s="10" t="s">
        <v>107</v>
      </c>
      <c r="E10" s="11">
        <v>9</v>
      </c>
      <c r="F10" s="39">
        <v>590233.22959999996</v>
      </c>
      <c r="G10" s="39">
        <v>6123183.2740000002</v>
      </c>
      <c r="H10" s="78" t="s">
        <v>118</v>
      </c>
      <c r="I10" s="11" t="s">
        <v>119</v>
      </c>
      <c r="J10" s="33"/>
      <c r="K10" s="10" t="s">
        <v>110</v>
      </c>
      <c r="L10" s="10" t="s">
        <v>95</v>
      </c>
      <c r="M10" s="10" t="s">
        <v>96</v>
      </c>
      <c r="N10" s="21">
        <v>1.5</v>
      </c>
      <c r="O10" s="21">
        <v>27</v>
      </c>
      <c r="P10" s="10" t="s">
        <v>97</v>
      </c>
      <c r="Q10" s="87"/>
      <c r="R10" s="10" t="s">
        <v>97</v>
      </c>
      <c r="S10" s="10" t="s">
        <v>97</v>
      </c>
      <c r="T10" s="87"/>
      <c r="U10" s="21">
        <v>0.5</v>
      </c>
      <c r="V10" s="10">
        <v>0</v>
      </c>
      <c r="W10" s="21">
        <v>0.3</v>
      </c>
      <c r="X10" s="10" t="s">
        <v>111</v>
      </c>
      <c r="Y10" s="21">
        <v>2.5</v>
      </c>
      <c r="Z10" s="21">
        <v>3.9</v>
      </c>
      <c r="AA10" s="10">
        <v>2.5</v>
      </c>
      <c r="AB10" s="10" t="s">
        <v>97</v>
      </c>
      <c r="AC10" s="10" t="s">
        <v>111</v>
      </c>
      <c r="AD10" s="10" t="s">
        <v>98</v>
      </c>
      <c r="AE10" s="10" t="s">
        <v>104</v>
      </c>
      <c r="AF10" s="20">
        <f t="shared" si="0"/>
        <v>2.6</v>
      </c>
      <c r="AG10" s="13">
        <f t="shared" si="1"/>
        <v>3</v>
      </c>
      <c r="AH10" s="7">
        <f t="shared" si="2"/>
        <v>10</v>
      </c>
      <c r="AI10" s="7">
        <f t="shared" si="3"/>
        <v>0</v>
      </c>
      <c r="AJ10" s="7">
        <f t="shared" si="4"/>
        <v>5</v>
      </c>
      <c r="AK10" s="7">
        <f t="shared" si="5"/>
        <v>6</v>
      </c>
      <c r="AL10" s="12">
        <f t="shared" si="6"/>
        <v>24</v>
      </c>
      <c r="AM10" s="14" t="str">
        <f t="shared" si="7"/>
        <v>Barrier</v>
      </c>
      <c r="AP10" s="10" t="s">
        <v>120</v>
      </c>
    </row>
    <row r="11" spans="1:42" x14ac:dyDescent="0.25">
      <c r="A11" s="59">
        <v>44827</v>
      </c>
      <c r="C11" s="78">
        <v>8300128</v>
      </c>
      <c r="D11" s="10" t="s">
        <v>121</v>
      </c>
      <c r="E11" s="10">
        <v>9</v>
      </c>
      <c r="F11" s="80">
        <v>584898.73659999995</v>
      </c>
      <c r="G11" s="80">
        <v>6152502.318</v>
      </c>
      <c r="H11" s="78" t="s">
        <v>122</v>
      </c>
      <c r="I11" s="11" t="s">
        <v>123</v>
      </c>
      <c r="J11" s="33">
        <v>30</v>
      </c>
      <c r="K11" s="10"/>
      <c r="L11" s="10" t="s">
        <v>95</v>
      </c>
      <c r="M11" s="10" t="s">
        <v>96</v>
      </c>
      <c r="N11" s="88">
        <v>2.4</v>
      </c>
      <c r="O11" s="88">
        <v>30</v>
      </c>
      <c r="P11" s="89" t="s">
        <v>97</v>
      </c>
      <c r="Q11" s="90"/>
      <c r="R11" s="89" t="s">
        <v>97</v>
      </c>
      <c r="S11" s="89" t="s">
        <v>97</v>
      </c>
      <c r="T11" s="90"/>
      <c r="U11" s="88">
        <v>4</v>
      </c>
      <c r="V11" s="89">
        <v>2</v>
      </c>
      <c r="W11" s="88">
        <v>2</v>
      </c>
      <c r="X11" s="89" t="s">
        <v>111</v>
      </c>
      <c r="Y11" s="88">
        <v>3.5</v>
      </c>
      <c r="Z11" s="88">
        <v>3.7</v>
      </c>
      <c r="AA11" s="89">
        <v>4.5</v>
      </c>
      <c r="AB11" s="10" t="s">
        <v>97</v>
      </c>
      <c r="AC11" s="10" t="s">
        <v>97</v>
      </c>
      <c r="AD11" s="89" t="s">
        <v>98</v>
      </c>
      <c r="AE11" s="89" t="s">
        <v>124</v>
      </c>
      <c r="AF11" s="20">
        <f t="shared" si="0"/>
        <v>1.5416666666666667</v>
      </c>
      <c r="AG11" s="13">
        <f t="shared" si="1"/>
        <v>6</v>
      </c>
      <c r="AH11" s="7">
        <f t="shared" si="2"/>
        <v>10</v>
      </c>
      <c r="AI11" s="7">
        <f t="shared" si="3"/>
        <v>10</v>
      </c>
      <c r="AJ11" s="7">
        <f>IF(Y11&lt;1,0,IF(AND(Y11&gt;=1,Y11&lt;3),5,IF(Y11&gt;=3,10,0)))</f>
        <v>10</v>
      </c>
      <c r="AK11" s="7">
        <f t="shared" si="5"/>
        <v>6</v>
      </c>
      <c r="AL11" s="12">
        <f t="shared" si="6"/>
        <v>42</v>
      </c>
      <c r="AM11" s="14" t="str">
        <f t="shared" si="7"/>
        <v>Barrier</v>
      </c>
      <c r="AN11" s="89"/>
      <c r="AO11" s="89"/>
      <c r="AP11" s="10" t="s">
        <v>125</v>
      </c>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ldCkiyYGJjVLrmqbJaauEIdlzxBMiucsH2xv1c6OIYk6hTUx5omil6n2h/vLtc1jLFpZeDMc07ikGNf0aXmbTw==" saltValue="r0Ieq9HRrlQZxkpUbro1M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list" allowBlank="1" showInputMessage="1" showErrorMessage="1" errorTitle="Invalid value entered" error="The crossing subtype is not compatible with a crossing type of Closed Bottom Structure" sqref="M11" xr:uid="{2D8D2F4B-1CD3-43F3-864B-98F5FBD83312}">
      <formula1>"Round Culvert,Oval Culvert,Concrete Box"</formula1>
    </dataValidation>
    <dataValidation type="decimal" allowBlank="1" showInputMessage="1" showErrorMessage="1" errorTitle="Invalid Diamter or Span" error="The Diameter or Span entered is invalid. Diameter or Span must be &gt; 0 and &lt; 300" sqref="N11" xr:uid="{BE73D6A0-6813-4FFF-8C59-9B20CD2F800E}">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1" xr:uid="{7711F061-BBD5-4D48-87D0-0684B66D7215}">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2022-10-26T17:04:25Z</dcterms:modified>
</cp:coreProperties>
</file>