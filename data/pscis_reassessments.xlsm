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FFEA054E-0E6B-4F9C-891F-84FB6F2E9FC3}" xr6:coauthVersionLast="47" xr6:coauthVersionMax="47" xr10:uidLastSave="{00000000-0000-0000-0000-000000000000}"/>
  <bookViews>
    <workbookView xWindow="-28920" yWindow="-105"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11" i="2" l="1"/>
  <c r="AL12" i="2"/>
  <c r="AL9" i="2"/>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<sst xmlns="http://schemas.openxmlformats.org/spreadsheetml/2006/main" count="184" uniqueCount="123">
  <si>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</si>
  <si>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</si>
  <si>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</si>
  <si>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</si>
  <si>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</si>
  <si>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</si>
  <si>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</si>
  <si>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</si>
  <si>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</si>
  <si>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</si>
  <si>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</si>
  <si>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</si>
  <si>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</si>
  <si>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</si>
  <si>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</si>
  <si>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</si>
  <si>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</si>
  <si>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</si>
  <si>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</si>
  <si>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</si>
  <si>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</si>
  <si>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</si>
  <si>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</si>
  <si>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</si>
  <si>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</si>
  <si>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</si>
  <si>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</si>
  <si>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</si>
  <si>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</si>
  <si>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</si>
  <si>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</si>
  <si>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</si>
  <si>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</si>
  <si>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</si>
  <si>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</si>
  <si>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</si>
  <si>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</si>
  <si>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</si>
  <si>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</si>
  <si>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</si>
  <si>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</si>
  <si>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</si>
  <si>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</si>
  <si>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</si>
  <si>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</si>
  <si>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</si>
  <si>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</si>
  <si>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</si>
  <si>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</si>
  <si>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</si>
  <si>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</si>
  <si>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</si>
  <si>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</si>
  <si>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</si>
  <si>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</si>
  <si>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</si>
  <si>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</si>
  <si>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</si>
  <si>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</si>
  <si>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</si>
  <si>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</si>
  <si>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</si>
  <si>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</si>
  <si>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</si>
  <si>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</si>
  <si>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</si>
  <si>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</si>
  <si>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</si>
  <si>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</si>
  <si>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</si>
  <si>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</si>
  <si>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</si>
  <si>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</si>
  <si>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</si>
  <si>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</si>
  <si>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</si>
  <si>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</si>
  <si>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</si>
  <si>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</si>
  <si>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</si>
  <si>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</si>
  <si>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</si>
  <si>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</si>
  <si>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</si>
  <si>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</si>
  <si>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</si>
  <si>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</si>
  <si>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</si>
  <si>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</si>
  <si>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</si>
  <si>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</si>
  <si>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</si>
  <si>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</si>
  <si>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</si>
  <si>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Mooluck creek</t>
  </si>
  <si>
    <t>AI</t>
  </si>
  <si>
    <t>No</t>
  </si>
  <si>
    <t>Yes</t>
  </si>
  <si>
    <t>Shallow Fill</t>
  </si>
  <si>
    <t>Medium</t>
  </si>
  <si>
    <t>Assessment completed 2015, fresh photos. 12:02</t>
  </si>
  <si>
    <t>Highway 37</t>
  </si>
  <si>
    <t>AI, JO</t>
  </si>
  <si>
    <t>Trib to Kitwanga river</t>
  </si>
  <si>
    <t>MoTi</t>
  </si>
  <si>
    <t>Deep Fill</t>
  </si>
  <si>
    <t>High</t>
  </si>
  <si>
    <t>Culvert embedded resembles stream. Utm corrected 100m down road. 12:25</t>
  </si>
  <si>
    <t>Cullon Creek</t>
  </si>
  <si>
    <t>Kuldo FSR</t>
  </si>
  <si>
    <t>TP, VJ</t>
  </si>
  <si>
    <t>McDonnel FSR</t>
  </si>
  <si>
    <t>Low</t>
  </si>
  <si>
    <t>Low stream, low flow. 11:30</t>
  </si>
  <si>
    <t>BCTS</t>
  </si>
  <si>
    <t>Low stream, some fish caught. 12:45</t>
  </si>
  <si>
    <t>Helen FSR</t>
  </si>
  <si>
    <t>Open Bottom Structure</t>
  </si>
  <si>
    <t>Bridge</t>
  </si>
  <si>
    <t>Noted as a culvert PSCIS. Not sure why. Bridge appears to be old. 18:59</t>
  </si>
  <si>
    <t>This culvert has been replaced with a fully embedded stream bed simulation. In good shape and functioning. Abundant gravels near crossing. Multiple parr observed. 3:53:00 PM</t>
  </si>
  <si>
    <t>TP</t>
  </si>
  <si>
    <t xml:space="preserve">Newly built bridge, well done. 16:38:52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</si>
</sst>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xf numFmtId="2" fontId="0" fillId="10" borderId="0" xfId="0" applyNumberFormat="1" applyFill="1"/>
    <xf numFmtId="21" fontId="0" fillId="0" borderId="0" xfId="0" applyNumberFormat="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D12" sqref="D12"/>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95</v>
      </c>
      <c r="E5" s="11">
        <v>9</v>
      </c>
      <c r="F5" s="39">
        <v>562215.34250000003</v>
      </c>
      <c r="G5" s="39">
        <v>6175347.2000000002</v>
      </c>
      <c r="H5" s="11" t="s">
        <v>94</v>
      </c>
      <c r="I5" s="11" t="s">
        <v>109</v>
      </c>
      <c r="J5" s="33"/>
      <c r="L5" s="10" t="s">
        <v>92</v>
      </c>
      <c r="M5" s="10" t="s">
        <v>93</v>
      </c>
      <c r="N5" s="82">
        <v>1.6</v>
      </c>
      <c r="O5" s="82">
        <v>40</v>
      </c>
      <c r="P5" s="10" t="s">
        <v>96</v>
      </c>
      <c r="Q5" s="86"/>
      <c r="R5" s="10" t="s">
        <v>96</v>
      </c>
      <c r="S5" s="10" t="s">
        <v>96</v>
      </c>
      <c r="T5" s="86"/>
      <c r="U5" s="10">
        <v>7.5</v>
      </c>
      <c r="V5" s="10">
        <v>0.59</v>
      </c>
      <c r="W5" s="10">
        <v>0.5</v>
      </c>
      <c r="X5" s="10" t="s">
        <v>97</v>
      </c>
      <c r="Y5" s="10">
        <v>4</v>
      </c>
      <c r="Z5" s="10">
        <v>3.5</v>
      </c>
      <c r="AA5" s="10">
        <v>5</v>
      </c>
      <c r="AB5" s="10" t="s">
        <v>96</v>
      </c>
      <c r="AC5" s="10" t="s">
        <v>96</v>
      </c>
      <c r="AD5" s="10" t="s">
        <v>98</v>
      </c>
      <c r="AE5" s="10" t="s">
        <v>99</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O5" s="10"/>
      <c r="AP5" s="78" t="s">
        <v>100</v>
      </c>
    </row>
    <row r="6" spans="1:42" x14ac:dyDescent="0.25">
      <c r="A6" s="59">
        <v>44813</v>
      </c>
      <c r="B6" s="58">
        <v>8300090</v>
      </c>
      <c r="D6" s="10" t="s">
        <v>102</v>
      </c>
      <c r="E6" s="11">
        <v>9</v>
      </c>
      <c r="F6" s="39">
        <v>558928.26509999996</v>
      </c>
      <c r="G6" s="39">
        <v>6126835.7699999996</v>
      </c>
      <c r="H6" s="10" t="s">
        <v>103</v>
      </c>
      <c r="I6" s="11" t="s">
        <v>101</v>
      </c>
      <c r="J6" s="33"/>
      <c r="K6" s="10" t="s">
        <v>104</v>
      </c>
      <c r="L6" s="10" t="s">
        <v>92</v>
      </c>
      <c r="M6" s="10" t="s">
        <v>93</v>
      </c>
      <c r="N6" s="82">
        <v>3.8</v>
      </c>
      <c r="O6" s="82">
        <v>25</v>
      </c>
      <c r="P6" s="10" t="s">
        <v>97</v>
      </c>
      <c r="Q6" s="10">
        <v>2.16</v>
      </c>
      <c r="R6" s="10" t="s">
        <v>97</v>
      </c>
      <c r="S6" s="10" t="s">
        <v>96</v>
      </c>
      <c r="T6" s="86"/>
      <c r="U6" s="10">
        <v>2</v>
      </c>
      <c r="V6" s="10">
        <v>0</v>
      </c>
      <c r="W6" s="10">
        <v>0</v>
      </c>
      <c r="X6" s="10" t="s">
        <v>96</v>
      </c>
      <c r="Y6" s="10">
        <v>2</v>
      </c>
      <c r="Z6" s="10">
        <v>2.6</v>
      </c>
      <c r="AA6" s="10">
        <v>2</v>
      </c>
      <c r="AB6" s="10" t="s">
        <v>97</v>
      </c>
      <c r="AC6" s="10" t="s">
        <v>96</v>
      </c>
      <c r="AD6" s="10" t="s">
        <v>105</v>
      </c>
      <c r="AE6" s="10" t="s">
        <v>106</v>
      </c>
      <c r="AF6" s="20">
        <f t="shared" ref="AF6:AF11" si="0">IF(ISBLANK(Z6), 0, IF(ISBLANK(N6) &lt; 0, 0,Z6 / N6))</f>
        <v>0.68421052631578949</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8</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44813</v>
      </c>
      <c r="B7" s="58">
        <v>196441</v>
      </c>
      <c r="D7" s="10" t="s">
        <v>102</v>
      </c>
      <c r="E7" s="11">
        <v>9</v>
      </c>
      <c r="F7" s="39">
        <v>568167</v>
      </c>
      <c r="G7" s="39">
        <v>6160283</v>
      </c>
      <c r="H7" s="10" t="s">
        <v>108</v>
      </c>
      <c r="I7" s="11" t="s">
        <v>109</v>
      </c>
      <c r="J7" s="33"/>
      <c r="K7" s="10"/>
      <c r="L7" s="10" t="s">
        <v>92</v>
      </c>
      <c r="M7" s="10" t="s">
        <v>93</v>
      </c>
      <c r="N7" s="21">
        <v>2.9</v>
      </c>
      <c r="O7" s="21">
        <v>19</v>
      </c>
      <c r="P7" s="10" t="s">
        <v>97</v>
      </c>
      <c r="Q7" s="10">
        <v>1.3</v>
      </c>
      <c r="R7" s="10" t="s">
        <v>97</v>
      </c>
      <c r="S7" s="10" t="s">
        <v>96</v>
      </c>
      <c r="T7" s="86"/>
      <c r="U7" s="10">
        <v>1</v>
      </c>
      <c r="V7" s="10">
        <v>0</v>
      </c>
      <c r="W7" s="10">
        <v>0</v>
      </c>
      <c r="X7" s="10" t="s">
        <v>96</v>
      </c>
      <c r="Y7" s="10">
        <v>3</v>
      </c>
      <c r="Z7" s="10">
        <v>3</v>
      </c>
      <c r="AA7" s="10">
        <v>5</v>
      </c>
      <c r="AB7" s="10" t="s">
        <v>96</v>
      </c>
      <c r="AC7" s="10" t="s">
        <v>97</v>
      </c>
      <c r="AD7" s="10" t="s">
        <v>105</v>
      </c>
      <c r="AE7" s="10" t="s">
        <v>106</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O7" s="10"/>
      <c r="AP7" s="87" t="s">
        <v>120</v>
      </c>
    </row>
    <row r="8" spans="1:42" x14ac:dyDescent="0.25">
      <c r="A8" s="59">
        <v>44817</v>
      </c>
      <c r="B8" s="83">
        <v>8527</v>
      </c>
      <c r="D8" s="10" t="s">
        <v>110</v>
      </c>
      <c r="E8" s="11">
        <v>9</v>
      </c>
      <c r="F8" s="39">
        <v>582183</v>
      </c>
      <c r="G8" s="39">
        <v>6074192</v>
      </c>
      <c r="H8" s="10"/>
      <c r="I8" s="11" t="s">
        <v>111</v>
      </c>
      <c r="J8" s="79">
        <v>34</v>
      </c>
      <c r="K8" s="81"/>
      <c r="L8" s="10" t="s">
        <v>92</v>
      </c>
      <c r="M8" s="10" t="s">
        <v>93</v>
      </c>
      <c r="N8" s="21">
        <v>0.66</v>
      </c>
      <c r="O8" s="21">
        <v>16</v>
      </c>
      <c r="P8" s="10" t="s">
        <v>96</v>
      </c>
      <c r="Q8" s="86"/>
      <c r="R8" s="10" t="s">
        <v>96</v>
      </c>
      <c r="S8" s="10" t="s">
        <v>96</v>
      </c>
      <c r="T8" s="86"/>
      <c r="U8" s="10">
        <v>1.5</v>
      </c>
      <c r="V8" s="10">
        <v>0.2</v>
      </c>
      <c r="W8" s="10">
        <v>0.65</v>
      </c>
      <c r="X8" s="10" t="s">
        <v>96</v>
      </c>
      <c r="Y8" s="10">
        <v>0.5</v>
      </c>
      <c r="Z8" s="10">
        <v>1.5</v>
      </c>
      <c r="AB8" s="10" t="s">
        <v>96</v>
      </c>
      <c r="AC8" s="10" t="s">
        <v>96</v>
      </c>
      <c r="AD8" s="10" t="s">
        <v>98</v>
      </c>
      <c r="AE8" s="10" t="s">
        <v>112</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O8" s="10"/>
      <c r="AP8" s="10" t="s">
        <v>113</v>
      </c>
    </row>
    <row r="9" spans="1:42" x14ac:dyDescent="0.25">
      <c r="A9" s="59">
        <v>44817</v>
      </c>
      <c r="B9" s="58">
        <v>8525</v>
      </c>
      <c r="D9" s="10" t="s">
        <v>110</v>
      </c>
      <c r="E9" s="11">
        <v>9</v>
      </c>
      <c r="F9" s="39">
        <v>580998</v>
      </c>
      <c r="G9" s="39">
        <v>6074677</v>
      </c>
      <c r="H9" s="78"/>
      <c r="I9" s="11" t="s">
        <v>111</v>
      </c>
      <c r="J9" s="33">
        <v>35.200000000000003</v>
      </c>
      <c r="K9" s="81" t="s">
        <v>114</v>
      </c>
      <c r="L9" s="10" t="s">
        <v>92</v>
      </c>
      <c r="M9" s="10" t="s">
        <v>93</v>
      </c>
      <c r="N9" s="21">
        <v>0.9</v>
      </c>
      <c r="O9" s="21">
        <v>35</v>
      </c>
      <c r="P9" s="10" t="s">
        <v>96</v>
      </c>
      <c r="Q9" s="86"/>
      <c r="R9" s="10" t="s">
        <v>96</v>
      </c>
      <c r="S9" s="10" t="s">
        <v>96</v>
      </c>
      <c r="T9" s="86"/>
      <c r="U9" s="10">
        <v>2.5</v>
      </c>
      <c r="V9" s="10">
        <v>0.5</v>
      </c>
      <c r="W9" s="10">
        <v>0.4</v>
      </c>
      <c r="X9" s="10" t="s">
        <v>96</v>
      </c>
      <c r="Y9" s="10">
        <v>1</v>
      </c>
      <c r="Z9" s="10">
        <v>1.4</v>
      </c>
      <c r="AA9" s="10">
        <v>1</v>
      </c>
      <c r="AB9" s="10" t="s">
        <v>96</v>
      </c>
      <c r="AC9" s="10" t="s">
        <v>97</v>
      </c>
      <c r="AD9" s="10" t="s">
        <v>105</v>
      </c>
      <c r="AE9" s="10" t="s">
        <v>99</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O9" s="10"/>
      <c r="AP9" s="10" t="s">
        <v>115</v>
      </c>
    </row>
    <row r="10" spans="1:42" x14ac:dyDescent="0.25">
      <c r="A10" s="59">
        <v>44810</v>
      </c>
      <c r="B10" s="58">
        <v>2892</v>
      </c>
      <c r="D10" s="10" t="s">
        <v>95</v>
      </c>
      <c r="E10" s="11">
        <v>9</v>
      </c>
      <c r="F10" s="39">
        <v>561637.02841318701</v>
      </c>
      <c r="G10" s="39">
        <v>6156976.4019649904</v>
      </c>
      <c r="H10" s="78"/>
      <c r="I10" s="11" t="s">
        <v>116</v>
      </c>
      <c r="J10" s="33"/>
      <c r="K10" s="10"/>
      <c r="L10" s="10" t="s">
        <v>117</v>
      </c>
      <c r="M10" s="10" t="s">
        <v>118</v>
      </c>
      <c r="N10" s="21">
        <v>11</v>
      </c>
      <c r="O10" s="21">
        <v>4.5</v>
      </c>
      <c r="P10" s="86"/>
      <c r="Q10" s="88"/>
      <c r="R10" s="86"/>
      <c r="S10" s="86"/>
      <c r="T10" s="88"/>
      <c r="U10" s="88"/>
      <c r="V10" s="86"/>
      <c r="W10" s="88"/>
      <c r="X10" s="86"/>
      <c r="Y10" s="88"/>
      <c r="Z10" s="88"/>
      <c r="AA10" s="86"/>
      <c r="AB10" s="10" t="s">
        <v>96</v>
      </c>
      <c r="AC10" s="10" t="s">
        <v>96</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8"/>
      <c r="AP10" s="10" t="s">
        <v>119</v>
      </c>
    </row>
    <row r="11" spans="1:42" x14ac:dyDescent="0.25">
      <c r="A11" s="59">
        <v>44817</v>
      </c>
      <c r="B11" s="58">
        <v>8552</v>
      </c>
      <c r="C11" s="78"/>
      <c r="D11" s="10" t="s">
        <v>121</v>
      </c>
      <c r="E11" s="10">
        <v>9</v>
      </c>
      <c r="F11" s="80">
        <v>601591.96047037095</v>
      </c>
      <c r="G11" s="80">
        <v>6070596.2426850703</v>
      </c>
      <c r="H11" s="78"/>
      <c r="I11" s="11" t="s">
        <v>111</v>
      </c>
      <c r="J11" s="33"/>
      <c r="K11" s="10"/>
      <c r="L11" s="10" t="s">
        <v>117</v>
      </c>
      <c r="M11" s="10" t="s">
        <v>118</v>
      </c>
      <c r="N11" s="21">
        <v>9</v>
      </c>
      <c r="O11" s="21">
        <v>4.5</v>
      </c>
      <c r="P11" s="86"/>
      <c r="Q11" s="88"/>
      <c r="R11" s="86"/>
      <c r="S11" s="86"/>
      <c r="T11" s="88"/>
      <c r="U11" s="88"/>
      <c r="V11" s="86"/>
      <c r="W11" s="88"/>
      <c r="X11" s="86"/>
      <c r="Y11" s="88"/>
      <c r="Z11" s="88"/>
      <c r="AA11" s="86"/>
      <c r="AB11" s="10" t="s">
        <v>96</v>
      </c>
      <c r="AC11" s="10" t="s">
        <v>96</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89">
        <v>0.68377314814814805</v>
      </c>
    </row>
    <row r="12" spans="1:42" x14ac:dyDescent="0.25">
      <c r="A12" s="59">
        <v>44817</v>
      </c>
      <c r="B12" s="58">
        <v>8551</v>
      </c>
      <c r="D12" s="10" t="s">
        <v>121</v>
      </c>
      <c r="E12" s="11">
        <v>9</v>
      </c>
      <c r="F12" s="39">
        <v>604307.37990564504</v>
      </c>
      <c r="G12" s="39">
        <v>6071031.32561165</v>
      </c>
      <c r="I12" s="11" t="s">
        <v>111</v>
      </c>
      <c r="J12" s="33">
        <v>9.5</v>
      </c>
      <c r="L12" s="10" t="s">
        <v>117</v>
      </c>
      <c r="M12" s="10" t="s">
        <v>118</v>
      </c>
      <c r="N12" s="21">
        <v>6</v>
      </c>
      <c r="O12" s="21">
        <v>4.5</v>
      </c>
      <c r="P12" s="86"/>
      <c r="Q12" s="86"/>
      <c r="R12" s="86"/>
      <c r="S12" s="86"/>
      <c r="T12" s="88"/>
      <c r="U12" s="88"/>
      <c r="V12" s="86"/>
      <c r="W12" s="88"/>
      <c r="X12" s="86"/>
      <c r="Y12" s="88"/>
      <c r="Z12" s="88"/>
      <c r="AA12" s="86"/>
      <c r="AB12" s="10" t="s">
        <v>96</v>
      </c>
      <c r="AC12" s="10" t="s">
        <v>96</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8"/>
      <c r="AP12" s="89" t="s">
        <v>122</v>
      </c>
    </row>
    <row r="13" spans="1:42" x14ac:dyDescent="0.25">
      <c r="A13" s="90"/>
      <c r="B13" s="91"/>
      <c r="D13" s="92"/>
      <c r="E13" s="93"/>
      <c r="F13" s="94"/>
      <c r="G13" s="94"/>
      <c r="H13" s="93"/>
      <c r="I13" s="93"/>
      <c r="J13" s="95"/>
      <c r="K13" s="93"/>
      <c r="L13" s="92"/>
      <c r="M13" s="92"/>
      <c r="N13" s="96"/>
      <c r="O13" s="96"/>
      <c r="P13" s="92"/>
      <c r="Q13" s="92"/>
      <c r="R13" s="92"/>
      <c r="S13" s="92"/>
      <c r="T13" s="92"/>
      <c r="U13" s="96"/>
      <c r="V13" s="92"/>
      <c r="W13" s="96"/>
      <c r="X13" s="92"/>
      <c r="Y13" s="96"/>
      <c r="Z13" s="96"/>
      <c r="AA13" s="92"/>
      <c r="AB13" s="92"/>
      <c r="AC13" s="92"/>
      <c r="AD13" s="92"/>
      <c r="AE13" s="92"/>
      <c r="AF13" s="20">
        <f t="shared" si="8"/>
        <v>0</v>
      </c>
      <c r="AG13" s="13">
        <f t="shared" si="1"/>
        <v>0</v>
      </c>
      <c r="AH13" s="7">
        <f t="shared" si="2"/>
        <v>0</v>
      </c>
      <c r="AI13" s="7">
        <f t="shared" si="3"/>
        <v>0</v>
      </c>
      <c r="AJ13" s="7">
        <f t="shared" si="4"/>
        <v>0</v>
      </c>
      <c r="AK13" s="7">
        <f t="shared" si="5"/>
        <v>0</v>
      </c>
      <c r="AL13" s="12">
        <f t="shared" si="9"/>
        <v>0</v>
      </c>
      <c r="AM13" s="14" t="str">
        <f t="shared" si="7"/>
        <v/>
      </c>
      <c r="AN13" s="92"/>
      <c r="AO13" s="96"/>
      <c r="AP13" s="92"/>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dy9xip50chCCGH+rB1RgMjaDTwdBShFqnjCkAaov1Xxu/r8Rpyzqz7Qxwx8P+wZvllrRAXclQZ3XyxHIFjcaw==" saltValue="z9rYe3Q2myr2qGfuMBudh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3.79 and &gt;= 0.01" sqref="Q6" xr:uid="{9FCC01E5-9408-4B33-91DC-F9574C4D650D}">
      <formula1>0.01</formula1>
      <formula2>3.79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 type="list" allowBlank="1" showInputMessage="1" showErrorMessage="1" errorTitle="Invalid value entered" error="The crossing subtype is not compatible with a crossing type of Open Bottom Structure" sqref="M10:M13" xr:uid="{3B7908AF-D3F6-4C99-A439-AB0799648B61}">
      <formula1>"Bridge, Pipe Arch, Wood Box Culvert"</formula1>
    </dataValidation>
    <dataValidation type="decimal" allowBlank="1" showInputMessage="1" showErrorMessage="1" errorTitle="Invalid Diamter or Span" error="The Diameter or Span entered is invalid. Diameter or Span must be &gt; 0 and &lt; 100" sqref="N10:N13" xr:uid="{D7BEF6B9-3F00-48CF-8A8D-BC05541095C1}">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10" xr:uid="{D6370003-8B07-4AB1-A6BB-987834A5A00A}">
      <formula1>0.01</formula1>
      <formula2>10.99</formula2>
    </dataValidation>
    <dataValidation type="decimal" allowBlank="1" showInputMessage="1" showErrorMessage="1" errorTitle="Invalid value entered" error="The Average Depth Embededdment you entered is invalid. The Average Depth Embededdment must be &lt;= 8.99 and &gt;= 0.01" sqref="Q11" xr:uid="{3EAD473F-5E65-4D29-9D81-219D0A8305A0}">
      <formula1>0.01</formula1>
      <formula2>8.99</formula2>
    </dataValidation>
    <dataValidation type="decimal" allowBlank="1" showInputMessage="1" showErrorMessage="1" errorTitle="Invalid value entered" error="The Average Depth Embededdment you entered is invalid. The Average Depth Embededdment must be &lt;= 5.99 and &gt;= 0.01" sqref="Q12" xr:uid="{7555DBE8-E041-4901-A344-ACD52B4C811E}">
      <formula1>0.01</formula1>
      <formula2>5.99</formula2>
    </dataValidation>
    <dataValidation type="decimal" allowBlank="1" showInputMessage="1" showErrorMessage="1" errorTitle="Invalid value entered" error="The Average Depth Embededdment you entered is invalid. The Average Depth Embededdment must be &lt;= 18.99 and &gt;= 0.01" sqref="Q13" xr:uid="{E7AC983E-48E0-4D09-BE3E-A24174AD1A8A}">
      <formula1>0.01</formula1>
      <formula2>18.99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2022-11-14T19:35:32Z</dcterms:modified>
</cp:coreProperties>
</file>