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D1691534-C4BA-495E-A66D-68D7F2175019}"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H11" i="2"/>
  <c r="AI11" i="2"/>
  <c r="AJ11" i="2"/>
  <c r="AF12" i="2"/>
  <c r="AK12" i="2" s="1"/>
  <c r="AL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L11"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9" i="2" l="1"/>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<sst xmlns="http://schemas.openxmlformats.org/spreadsheetml/2006/main" count="163" uniqueCount="116">
  <si>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</si>
  <si>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</si>
  <si>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</si>
  <si>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</si>
  <si>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</si>
  <si>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</si>
  <si>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</si>
  <si>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</si>
  <si>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</si>
  <si>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</si>
  <si>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</si>
  <si>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</si>
  <si>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</si>
  <si>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</si>
  <si>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</si>
  <si>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</si>
  <si>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</si>
  <si>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</si>
  <si>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</si>
  <si>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</si>
  <si>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</si>
  <si>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</si>
  <si>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</si>
  <si>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</si>
  <si>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</si>
  <si>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</si>
  <si>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</si>
  <si>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</si>
  <si>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</si>
  <si>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</si>
  <si>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</si>
  <si>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</si>
  <si>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</si>
  <si>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</si>
  <si>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</si>
  <si>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</si>
  <si>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</si>
  <si>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</si>
  <si>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</si>
  <si>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</si>
  <si>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</si>
  <si>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</si>
  <si>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</si>
  <si>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</si>
  <si>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</si>
  <si>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</si>
  <si>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</si>
  <si>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</si>
  <si>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</si>
  <si>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</si>
  <si>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</si>
  <si>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</si>
  <si>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</si>
  <si>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</si>
  <si>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</si>
  <si>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</si>
  <si>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</si>
  <si>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</si>
  <si>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</si>
  <si>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</si>
  <si>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</si>
  <si>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</si>
  <si>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</si>
  <si>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</si>
  <si>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</si>
  <si>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</si>
  <si>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</si>
  <si>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</si>
  <si>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</si>
  <si>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</si>
  <si>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</si>
  <si>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</si>
  <si>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</si>
  <si>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</si>
  <si>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</si>
  <si>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</si>
  <si>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</si>
  <si>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</si>
  <si>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</si>
  <si>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</si>
  <si>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</si>
  <si>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</si>
  <si>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</si>
  <si>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</si>
  <si>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</si>
  <si>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</si>
  <si>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</si>
  <si>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</si>
  <si>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</si>
  <si>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</si>
  <si>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</si>
  <si>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</si>
  <si>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</si>
  <si>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</si>
  <si>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</si>
  <si>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</si>
  <si>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</si>
  <si>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</si>
  <si>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</si>
  <si>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</si>
  <si>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Assessment completed 2015, fresh photos. 12:02</t>
  </si>
  <si>
    <t>Highway 37</t>
  </si>
  <si>
    <t>AI, JO</t>
  </si>
  <si>
    <t>Trib to Kitwanga river</t>
  </si>
  <si>
    <t>MoTi</t>
  </si>
  <si>
    <t>Deep Fill</t>
  </si>
  <si>
    <t>High</t>
  </si>
  <si>
    <t>Culvert embedded resembles stream. Utm corrected 100m down road. 12:25</t>
  </si>
  <si>
    <t>Cullon Creek</t>
  </si>
  <si>
    <t>Kuldo FSR</t>
  </si>
  <si>
    <t>TP, VJ</t>
  </si>
  <si>
    <t>McDonnel FSR</t>
  </si>
  <si>
    <t>Low</t>
  </si>
  <si>
    <t>Low stream, low flow. 11:30</t>
  </si>
  <si>
    <t>BCTS</t>
  </si>
  <si>
    <t>Low stream, some fish caught. 12:45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</si>
</sst>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10" sqref="A10"/>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109</v>
      </c>
      <c r="J5" s="33"/>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O5" s="10"/>
      <c r="AP5" s="78" t="s">
        <v>100</v>
      </c>
    </row>
    <row r="6" spans="1:42" x14ac:dyDescent="0.25">
      <c r="A6" s="59">
        <v>44813</v>
      </c>
      <c r="B6" s="58">
        <v>8300090</v>
      </c>
      <c r="D6" s="10" t="s">
        <v>102</v>
      </c>
      <c r="E6" s="11">
        <v>9</v>
      </c>
      <c r="F6" s="39">
        <v>558928.26509999996</v>
      </c>
      <c r="G6" s="39">
        <v>6126835.7699999996</v>
      </c>
      <c r="H6" s="10" t="s">
        <v>103</v>
      </c>
      <c r="I6" s="11" t="s">
        <v>101</v>
      </c>
      <c r="J6" s="33"/>
      <c r="K6" s="10" t="s">
        <v>104</v>
      </c>
      <c r="L6" s="10" t="s">
        <v>92</v>
      </c>
      <c r="M6" s="10" t="s">
        <v>93</v>
      </c>
      <c r="N6" s="82">
        <v>3.8</v>
      </c>
      <c r="O6" s="82">
        <v>25</v>
      </c>
      <c r="P6" s="10" t="s">
        <v>97</v>
      </c>
      <c r="Q6" s="10">
        <v>2.16</v>
      </c>
      <c r="R6" s="10" t="s">
        <v>97</v>
      </c>
      <c r="S6" s="10" t="s">
        <v>96</v>
      </c>
      <c r="T6" s="86"/>
      <c r="U6" s="10">
        <v>2</v>
      </c>
      <c r="V6" s="10">
        <v>0</v>
      </c>
      <c r="W6" s="10">
        <v>0</v>
      </c>
      <c r="X6" s="10" t="s">
        <v>96</v>
      </c>
      <c r="Y6" s="10">
        <v>2</v>
      </c>
      <c r="Z6" s="10">
        <v>2.6</v>
      </c>
      <c r="AA6" s="10">
        <v>2</v>
      </c>
      <c r="AB6" s="10" t="s">
        <v>97</v>
      </c>
      <c r="AC6" s="10" t="s">
        <v>96</v>
      </c>
      <c r="AD6" s="10" t="s">
        <v>105</v>
      </c>
      <c r="AE6" s="10" t="s">
        <v>106</v>
      </c>
      <c r="AF6" s="20">
        <f t="shared" ref="AF6:AF11" si="0">IF(ISBLANK(Z6), 0, IF(ISBLANK(N6) &lt; 0, 0,Z6 / N6))</f>
        <v>0.68421052631578949</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8</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44813</v>
      </c>
      <c r="B7" s="58">
        <v>196441</v>
      </c>
      <c r="D7" s="10" t="s">
        <v>102</v>
      </c>
      <c r="E7" s="11">
        <v>9</v>
      </c>
      <c r="F7" s="39">
        <v>568167</v>
      </c>
      <c r="G7" s="39">
        <v>6160283</v>
      </c>
      <c r="H7" s="10" t="s">
        <v>108</v>
      </c>
      <c r="I7" s="11" t="s">
        <v>109</v>
      </c>
      <c r="J7" s="33"/>
      <c r="K7" s="10"/>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105</v>
      </c>
      <c r="AE7" s="10" t="s">
        <v>106</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O7" s="10"/>
      <c r="AP7" s="87">
        <v>0.66180555555555554</v>
      </c>
    </row>
    <row r="8" spans="1:42" x14ac:dyDescent="0.25">
      <c r="A8" s="59">
        <v>44817</v>
      </c>
      <c r="B8" s="83">
        <v>8527</v>
      </c>
      <c r="D8" s="10" t="s">
        <v>110</v>
      </c>
      <c r="E8" s="11">
        <v>9</v>
      </c>
      <c r="F8" s="39">
        <v>582183</v>
      </c>
      <c r="G8" s="39">
        <v>6074192</v>
      </c>
      <c r="H8" s="10"/>
      <c r="I8" s="11" t="s">
        <v>111</v>
      </c>
      <c r="J8" s="79">
        <v>34</v>
      </c>
      <c r="K8" s="81"/>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112</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O8" s="10"/>
      <c r="AP8" s="10" t="s">
        <v>113</v>
      </c>
    </row>
    <row r="9" spans="1:42" x14ac:dyDescent="0.25">
      <c r="A9" s="59">
        <v>44817</v>
      </c>
      <c r="B9" s="58">
        <v>8525</v>
      </c>
      <c r="D9" s="10" t="s">
        <v>110</v>
      </c>
      <c r="E9" s="11">
        <v>9</v>
      </c>
      <c r="F9" s="39">
        <v>580998</v>
      </c>
      <c r="G9" s="39">
        <v>6074677</v>
      </c>
      <c r="H9" s="78"/>
      <c r="I9" s="11" t="s">
        <v>111</v>
      </c>
      <c r="J9" s="33">
        <v>35.200000000000003</v>
      </c>
      <c r="K9" s="81" t="s">
        <v>114</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105</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O9" s="10"/>
      <c r="AP9" s="10" t="s">
        <v>115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bz92Cp1TicNIq6AtW0Zy4/pQFPyH3VVDKWVbKbKZookdAfeIN92HQnMSdls06W54WPS/yKm34+LYskdVkJBJg==" saltValue="5xrWYQyH08cDryirsnhLj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3.79 and &gt;= 0.01" sqref="Q6" xr:uid="{9FCC01E5-9408-4B33-91DC-F9574C4D650D}">
      <formula1>0.01</formula1>
      <formula2>3.79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2022-10-26T17:04:36Z</dcterms:modified>
</cp:coreProperties>
</file>